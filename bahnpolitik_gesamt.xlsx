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7">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b val="1"/>
      <color rgb="00A0A0A0"/>
      <sz val="8"/>
    </font>
    <font>
      <name val="Arial"/>
      <i val="1"/>
      <color rgb="00606060"/>
      <sz val="9"/>
    </font>
    <font>
      <name val="Arial"/>
      <b val="1"/>
      <color rgb="001D3C6E"/>
      <sz val="11"/>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xf numFmtId="0" fontId="13" fillId="0" borderId="0" pivotButton="0" quotePrefix="0" xfId="0"/>
    <xf numFmtId="0" fontId="14" fillId="0" borderId="0" pivotButton="0" quotePrefix="0" xfId="0"/>
    <xf numFmtId="0" fontId="6" fillId="0" borderId="0" pivotButton="0" quotePrefix="0" xfId="0"/>
    <xf numFmtId="0" fontId="15" fillId="0" borderId="0" pivotButton="0" quotePrefix="0" xfId="0"/>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numRef>
              <f>'Initiativen'!$A$5:$A$8</f>
            </num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numRef>
              <f>'Zeitverlauf'!$A$4:$A$23</f>
            </numRef>
          </cat>
          <val>
            <numRef>
              <f>'Zeitverlauf'!$B$4:$B$23</f>
            </numRef>
          </val>
        </ser>
        <ser>
          <idx val="1"/>
          <order val="1"/>
          <tx>
            <strRef>
              <f>'Zeitverlauf'!C3</f>
            </strRef>
          </tx>
          <spPr>
            <a:solidFill>
              <a:srgbClr val="1AA037"/>
            </a:solidFill>
            <a:ln>
              <a:prstDash val="solid"/>
            </a:ln>
          </spPr>
          <cat>
            <numRef>
              <f>'Zeitverlauf'!$A$4:$A$23</f>
            </numRef>
          </cat>
          <val>
            <numRef>
              <f>'Zeitverlauf'!$C$4:$C$23</f>
            </numRef>
          </val>
        </ser>
        <ser>
          <idx val="2"/>
          <order val="2"/>
          <tx>
            <strRef>
              <f>'Zeitverlauf'!D3</f>
            </strRef>
          </tx>
          <spPr>
            <a:solidFill>
              <a:srgbClr val="009EE0"/>
            </a:solidFill>
            <a:ln>
              <a:prstDash val="solid"/>
            </a:ln>
          </spPr>
          <cat>
            <numRef>
              <f>'Zeitverlauf'!$A$4:$A$23</f>
            </numRef>
          </cat>
          <val>
            <numRef>
              <f>'Zeitverlauf'!$D$4:$D$23</f>
            </numRef>
          </val>
        </ser>
        <ser>
          <idx val="3"/>
          <order val="3"/>
          <tx>
            <strRef>
              <f>'Zeitverlauf'!E3</f>
            </strRef>
          </tx>
          <spPr>
            <a:solidFill>
              <a:srgbClr val="BE3075"/>
            </a:solidFill>
            <a:ln>
              <a:prstDash val="solid"/>
            </a:ln>
          </spPr>
          <cat>
            <numRef>
              <f>'Zeitverlauf'!$A$4:$A$23</f>
            </numRef>
          </cat>
          <val>
            <numRef>
              <f>'Zeitverlauf'!$E$4:$E$23</f>
            </numRef>
          </val>
        </ser>
        <ser>
          <idx val="4"/>
          <order val="4"/>
          <tx>
            <strRef>
              <f>'Zeitverlauf'!F3</f>
            </strRef>
          </tx>
          <spPr>
            <a:solidFill>
              <a:srgbClr val="9E9E9E"/>
            </a:solidFill>
            <a:ln>
              <a:prstDash val="solid"/>
            </a:ln>
          </spPr>
          <cat>
            <numRef>
              <f>'Zeitverlauf'!$A$4:$A$23</f>
            </numRef>
          </cat>
          <val>
            <numRef>
              <f>'Zeitverlauf'!$F$4:$F$23</f>
            </numRef>
          </val>
        </ser>
        <ser>
          <idx val="5"/>
          <order val="5"/>
          <tx>
            <strRef>
              <f>'Zeitverlauf'!G3</f>
            </strRef>
          </tx>
          <spPr>
            <a:solidFill>
              <a:srgbClr val="5A6B7B"/>
            </a:solidFill>
            <a:ln>
              <a:prstDash val="solid"/>
            </a:ln>
          </spPr>
          <cat>
            <numRef>
              <f>'Zeitverlauf'!$A$4:$A$23</f>
            </numRef>
          </cat>
          <val>
            <numRef>
              <f>'Zeitverlauf'!$G$4:$G$23</f>
            </numRef>
          </val>
        </ser>
        <ser>
          <idx val="6"/>
          <order val="6"/>
          <tx>
            <strRef>
              <f>'Zeitverlauf'!H3</f>
            </strRef>
          </tx>
          <spPr>
            <a:solidFill>
              <a:srgbClr val="B9BFC6"/>
            </a:solidFill>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numRef>
              <f>'Abstimmungen'!$A$52:$A$57</f>
            </numRef>
          </cat>
          <val>
            <numRef>
              <f>'Abstimmungen'!$B$52:$B$57</f>
            </numRef>
          </val>
        </ser>
        <ser>
          <idx val="1"/>
          <order val="1"/>
          <tx>
            <strRef>
              <f>'Abstimmungen'!C51</f>
            </strRef>
          </tx>
          <spPr>
            <a:solidFill>
              <a:srgbClr val="D32F2F"/>
            </a:solidFill>
            <a:ln>
              <a:prstDash val="solid"/>
            </a:ln>
          </spPr>
          <cat>
            <numRef>
              <f>'Abstimmungen'!$A$52:$A$57</f>
            </numRef>
          </cat>
          <val>
            <numRef>
              <f>'Abstimmungen'!$C$52:$C$57</f>
            </numRef>
          </val>
        </ser>
        <ser>
          <idx val="2"/>
          <order val="2"/>
          <tx>
            <strRef>
              <f>'Abstimmungen'!D51</f>
            </strRef>
          </tx>
          <spPr>
            <a:solidFill>
              <a:srgbClr val="FBC02D"/>
            </a:solidFill>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numRef>
              <f>'Profil'!$A$13:$A$16</f>
            </numRef>
          </cat>
          <val>
            <numRef>
              <f>'Profil'!$B$13:$B$16</f>
            </numRef>
          </val>
        </ser>
        <ser>
          <idx val="1"/>
          <order val="1"/>
          <tx>
            <strRef>
              <f>'Profil'!C12</f>
            </strRef>
          </tx>
          <spPr>
            <a:ln w="22000">
              <a:solidFill>
                <a:srgbClr val="1AA037"/>
              </a:solidFill>
              <a:prstDash val="solid"/>
            </a:ln>
          </spPr>
          <marker>
            <symbol val="none"/>
            <spPr>
              <a:ln>
                <a:prstDash val="solid"/>
              </a:ln>
            </spPr>
          </marker>
          <cat>
            <numRef>
              <f>'Profil'!$A$13:$A$16</f>
            </numRef>
          </cat>
          <val>
            <numRef>
              <f>'Profil'!$C$13:$C$16</f>
            </numRef>
          </val>
        </ser>
        <ser>
          <idx val="2"/>
          <order val="2"/>
          <tx>
            <strRef>
              <f>'Profil'!D12</f>
            </strRef>
          </tx>
          <spPr>
            <a:ln w="22000">
              <a:solidFill>
                <a:srgbClr val="009EE0"/>
              </a:solidFill>
              <a:prstDash val="solid"/>
            </a:ln>
          </spPr>
          <marker>
            <symbol val="none"/>
            <spPr>
              <a:ln>
                <a:prstDash val="solid"/>
              </a:ln>
            </spPr>
          </marker>
          <cat>
            <numRef>
              <f>'Profil'!$A$13:$A$16</f>
            </numRef>
          </cat>
          <val>
            <numRef>
              <f>'Profil'!$D$13:$D$16</f>
            </numRef>
          </val>
        </ser>
        <ser>
          <idx val="3"/>
          <order val="3"/>
          <tx>
            <strRef>
              <f>'Profil'!E12</f>
            </strRef>
          </tx>
          <spPr>
            <a:ln w="22000">
              <a:solidFill>
                <a:srgbClr val="BE3075"/>
              </a:solidFill>
              <a:prstDash val="solid"/>
            </a:ln>
          </spPr>
          <marker>
            <symbol val="none"/>
            <spPr>
              <a:ln>
                <a:prstDash val="solid"/>
              </a:ln>
            </spPr>
          </marker>
          <cat>
            <numRef>
              <f>'Profil'!$A$13:$A$16</f>
            </numRef>
          </cat>
          <val>
            <numRef>
              <f>'Profil'!$E$13:$E$16</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_rels/drawing6.xml.rels><Relationships xmlns="http://schemas.openxmlformats.org/package/2006/relationships"><Relationship Type="http://schemas.openxmlformats.org/officeDocument/2006/relationships/chart" Target="/xl/charts/chart9.xml" Id="rId1" /></Relationships>
</file>

<file path=xl/drawings/_rels/drawing7.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24.07.2026 07:09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39"/>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6" t="inlineStr">
        <is>
          <t>Fraktionsprofil: vier messbare Dimensionen</t>
        </is>
      </c>
    </row>
    <row r="2" ht="48" customHeight="1">
      <c r="A2" s="24"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5" t="inlineStr">
        <is>
          <t>Hilfsraster Themen</t>
        </is>
      </c>
      <c r="I4" s="25" t="inlineStr">
        <is>
          <t>CDU/CSU</t>
        </is>
      </c>
      <c r="J4" s="25" t="inlineStr">
        <is>
          <t>Gruene</t>
        </is>
      </c>
      <c r="K4" s="25" t="inlineStr">
        <is>
          <t>AfD</t>
        </is>
      </c>
      <c r="L4" s="25" t="inlineStr">
        <is>
          <t>Linke</t>
        </is>
      </c>
    </row>
    <row r="5">
      <c r="A5" s="26" t="inlineStr">
        <is>
          <t>Initiativen gesamt</t>
        </is>
      </c>
      <c r="B5" s="18">
        <f>COUNTIFS(Drucksachen!$F$2:$F$283,I$4,Drucksachen!$E$2:$E$283,"Kleine Anfrage")+COUNTIFS(Drucksachen!$F$2:$F$283,I$4,Drucksachen!$E$2:$E$283,"Antrag")+COUNTIFS(Drucksachen!$F$2:$F$283,I$4,Drucksachen!$E$2:$E$283,"Entschließungsantrag")+COUNTIFS(Drucksachen!$F$2:$F$283,I$4,Drucksachen!$E$2:$E$283,"Gesetzentwurf")</f>
        <v/>
      </c>
      <c r="C5" s="18">
        <f>COUNTIFS(Drucksachen!$F$2:$F$283,J$4,Drucksachen!$E$2:$E$283,"Kleine Anfrage")+COUNTIFS(Drucksachen!$F$2:$F$283,J$4,Drucksachen!$E$2:$E$283,"Antrag")+COUNTIFS(Drucksachen!$F$2:$F$283,J$4,Drucksachen!$E$2:$E$283,"Entschließungsantrag")+COUNTIFS(Drucksachen!$F$2:$F$283,J$4,Drucksachen!$E$2:$E$283,"Gesetzentwurf")</f>
        <v/>
      </c>
      <c r="D5" s="18">
        <f>COUNTIFS(Drucksachen!$F$2:$F$283,K$4,Drucksachen!$E$2:$E$283,"Kleine Anfrage")+COUNTIFS(Drucksachen!$F$2:$F$283,K$4,Drucksachen!$E$2:$E$283,"Antrag")+COUNTIFS(Drucksachen!$F$2:$F$283,K$4,Drucksachen!$E$2:$E$283,"Entschließungsantrag")+COUNTIFS(Drucksachen!$F$2:$F$283,K$4,Drucksachen!$E$2:$E$283,"Gesetzentwurf")</f>
        <v/>
      </c>
      <c r="E5" s="18">
        <f>COUNTIFS(Drucksachen!$F$2:$F$283,L$4,Drucksachen!$E$2:$E$283,"Kleine Anfrage")+COUNTIFS(Drucksachen!$F$2:$F$283,L$4,Drucksachen!$E$2:$E$283,"Antrag")+COUNTIFS(Drucksachen!$F$2:$F$283,L$4,Drucksachen!$E$2:$E$283,"Entschließungsantrag")+COUNTIFS(Drucksachen!$F$2:$F$283,L$4,Drucksachen!$E$2:$E$283,"Gesetzentwurf")</f>
        <v/>
      </c>
      <c r="F5" s="27" t="inlineStr">
        <is>
          <t>Wie viel eine Fraktion ueberhaupt einbringt</t>
        </is>
      </c>
      <c r="G5" s="18" t="n"/>
      <c r="H5" s="18" t="inlineStr">
        <is>
          <t>Bahnhoefe</t>
        </is>
      </c>
      <c r="I5" s="18">
        <f>IF(SUMPRODUCT(ISNUMBER(SEARCH($H5,Drucksachen!$I$2:$I$283))*(Drucksachen!$F$2:$F$283=I$4))&gt;0,1,0)</f>
        <v/>
      </c>
      <c r="J5" s="18">
        <f>IF(SUMPRODUCT(ISNUMBER(SEARCH($H5,Drucksachen!$I$2:$I$283))*(Drucksachen!$F$2:$F$283=J$4))&gt;0,1,0)</f>
        <v/>
      </c>
      <c r="K5" s="18">
        <f>IF(SUMPRODUCT(ISNUMBER(SEARCH($H5,Drucksachen!$I$2:$I$283))*(Drucksachen!$F$2:$F$283=K$4))&gt;0,1,0)</f>
        <v/>
      </c>
      <c r="L5" s="18">
        <f>IF(SUMPRODUCT(ISNUMBER(SEARCH($H5,Drucksachen!$I$2:$I$283))*(Drucksachen!$F$2:$F$283=L$4))&gt;0,1,0)</f>
        <v/>
      </c>
    </row>
    <row r="6">
      <c r="A6" s="26" t="inlineStr">
        <is>
          <t>davon abstimmungsfaehig</t>
        </is>
      </c>
      <c r="B6" s="18">
        <f>COUNTIFS(Drucksachen!$F$2:$F$283,I$4,Drucksachen!$E$2:$E$283,"Antrag")+COUNTIFS(Drucksachen!$F$2:$F$283,I$4,Drucksachen!$E$2:$E$283,"Entschließungsantrag")+COUNTIFS(Drucksachen!$F$2:$F$283,I$4,Drucksachen!$E$2:$E$283,"Gesetzentwurf")</f>
        <v/>
      </c>
      <c r="C6" s="18">
        <f>COUNTIFS(Drucksachen!$F$2:$F$283,J$4,Drucksachen!$E$2:$E$283,"Antrag")+COUNTIFS(Drucksachen!$F$2:$F$283,J$4,Drucksachen!$E$2:$E$283,"Entschließungsantrag")+COUNTIFS(Drucksachen!$F$2:$F$283,J$4,Drucksachen!$E$2:$E$283,"Gesetzentwurf")</f>
        <v/>
      </c>
      <c r="D6" s="18">
        <f>COUNTIFS(Drucksachen!$F$2:$F$283,K$4,Drucksachen!$E$2:$E$283,"Antrag")+COUNTIFS(Drucksachen!$F$2:$F$283,K$4,Drucksachen!$E$2:$E$283,"Entschließungsantrag")+COUNTIFS(Drucksachen!$F$2:$F$283,K$4,Drucksachen!$E$2:$E$283,"Gesetzentwurf")</f>
        <v/>
      </c>
      <c r="E6" s="18">
        <f>COUNTIFS(Drucksachen!$F$2:$F$283,L$4,Drucksachen!$E$2:$E$283,"Antrag")+COUNTIFS(Drucksachen!$F$2:$F$283,L$4,Drucksachen!$E$2:$E$283,"Entschließungsantrag")+COUNTIFS(Drucksachen!$F$2:$F$283,L$4,Drucksachen!$E$2:$E$283,"Gesetzentwurf")</f>
        <v/>
      </c>
      <c r="F6" s="27" t="inlineStr">
        <is>
          <t>Gestaltung statt blosser Kontrolle: Antraege und Gesetzentwuerfe</t>
        </is>
      </c>
      <c r="G6" s="18" t="n"/>
      <c r="H6" s="18" t="inlineStr">
        <is>
          <t>Sicherheit</t>
        </is>
      </c>
      <c r="I6" s="18">
        <f>IF(SUMPRODUCT(ISNUMBER(SEARCH($H6,Drucksachen!$I$2:$I$283))*(Drucksachen!$F$2:$F$283=I$4))&gt;0,1,0)</f>
        <v/>
      </c>
      <c r="J6" s="18">
        <f>IF(SUMPRODUCT(ISNUMBER(SEARCH($H6,Drucksachen!$I$2:$I$283))*(Drucksachen!$F$2:$F$283=J$4))&gt;0,1,0)</f>
        <v/>
      </c>
      <c r="K6" s="18">
        <f>IF(SUMPRODUCT(ISNUMBER(SEARCH($H6,Drucksachen!$I$2:$I$283))*(Drucksachen!$F$2:$F$283=K$4))&gt;0,1,0)</f>
        <v/>
      </c>
      <c r="L6" s="18">
        <f>IF(SUMPRODUCT(ISNUMBER(SEARCH($H6,Drucksachen!$I$2:$I$283))*(Drucksachen!$F$2:$F$283=L$4))&gt;0,1,0)</f>
        <v/>
      </c>
    </row>
    <row r="7">
      <c r="A7" s="26" t="inlineStr">
        <is>
          <t>Themenbreite</t>
        </is>
      </c>
      <c r="B7" s="18">
        <f>SUM(I$5:I$17)</f>
        <v/>
      </c>
      <c r="C7" s="18">
        <f>SUM(J$5:J$17)</f>
        <v/>
      </c>
      <c r="D7" s="18">
        <f>SUM(K$5:K$17)</f>
        <v/>
      </c>
      <c r="E7" s="18">
        <f>SUM(L$5:L$17)</f>
        <v/>
      </c>
      <c r="F7" s="27" t="inlineStr">
        <is>
          <t>Wie viele der 13 Sachthemen beruehrt werden</t>
        </is>
      </c>
      <c r="G7" s="18" t="n"/>
      <c r="H7" s="18" t="inlineStr">
        <is>
          <t>Sonstiges</t>
        </is>
      </c>
      <c r="I7" s="18">
        <f>IF(SUMPRODUCT(ISNUMBER(SEARCH($H7,Drucksachen!$I$2:$I$283))*(Drucksachen!$F$2:$F$283=I$4))&gt;0,1,0)</f>
        <v/>
      </c>
      <c r="J7" s="18">
        <f>IF(SUMPRODUCT(ISNUMBER(SEARCH($H7,Drucksachen!$I$2:$I$283))*(Drucksachen!$F$2:$F$283=J$4))&gt;0,1,0)</f>
        <v/>
      </c>
      <c r="K7" s="18">
        <f>IF(SUMPRODUCT(ISNUMBER(SEARCH($H7,Drucksachen!$I$2:$I$283))*(Drucksachen!$F$2:$F$283=K$4))&gt;0,1,0)</f>
        <v/>
      </c>
      <c r="L7" s="18">
        <f>IF(SUMPRODUCT(ISNUMBER(SEARCH($H7,Drucksachen!$I$2:$I$283))*(Drucksachen!$F$2:$F$283=L$4))&gt;0,1,0)</f>
        <v/>
      </c>
    </row>
    <row r="8">
      <c r="A8" s="26" t="inlineStr">
        <is>
          <t>Aktive Quartale</t>
        </is>
      </c>
      <c r="B8" s="18">
        <f>SUM(I$20:I$39)</f>
        <v/>
      </c>
      <c r="C8" s="18">
        <f>SUM(J$20:J$39)</f>
        <v/>
      </c>
      <c r="D8" s="18">
        <f>SUM(K$20:K$39)</f>
        <v/>
      </c>
      <c r="E8" s="18">
        <f>SUM(L$20:L$39)</f>
        <v/>
      </c>
      <c r="F8" s="27" t="inlineStr">
        <is>
          <t>Beharrlichkeit: Quartale mit Aktivitaet, von 20</t>
        </is>
      </c>
      <c r="G8" s="18" t="n"/>
      <c r="H8" s="18" t="inlineStr">
        <is>
          <t>Infrastruktur/Netz</t>
        </is>
      </c>
      <c r="I8" s="18">
        <f>IF(SUMPRODUCT(ISNUMBER(SEARCH($H8,Drucksachen!$I$2:$I$283))*(Drucksachen!$F$2:$F$283=I$4))&gt;0,1,0)</f>
        <v/>
      </c>
      <c r="J8" s="18">
        <f>IF(SUMPRODUCT(ISNUMBER(SEARCH($H8,Drucksachen!$I$2:$I$283))*(Drucksachen!$F$2:$F$283=J$4))&gt;0,1,0)</f>
        <v/>
      </c>
      <c r="K8" s="18">
        <f>IF(SUMPRODUCT(ISNUMBER(SEARCH($H8,Drucksachen!$I$2:$I$283))*(Drucksachen!$F$2:$F$283=K$4))&gt;0,1,0)</f>
        <v/>
      </c>
      <c r="L8" s="18">
        <f>IF(SUMPRODUCT(ISNUMBER(SEARCH($H8,Drucksachen!$I$2:$I$283))*(Drucksachen!$F$2:$F$283=L$4))&gt;0,1,0)</f>
        <v/>
      </c>
    </row>
    <row r="9">
      <c r="A9" s="18" t="n"/>
      <c r="B9" s="18" t="n"/>
      <c r="C9" s="18" t="n"/>
      <c r="D9" s="18" t="n"/>
      <c r="E9" s="18" t="n"/>
      <c r="F9" s="18" t="n"/>
      <c r="G9" s="18" t="n"/>
      <c r="H9" s="18" t="inlineStr">
        <is>
          <t>Konzernstruktur/DB AG</t>
        </is>
      </c>
      <c r="I9" s="18">
        <f>IF(SUMPRODUCT(ISNUMBER(SEARCH($H9,Drucksachen!$I$2:$I$283))*(Drucksachen!$F$2:$F$283=I$4))&gt;0,1,0)</f>
        <v/>
      </c>
      <c r="J9" s="18">
        <f>IF(SUMPRODUCT(ISNUMBER(SEARCH($H9,Drucksachen!$I$2:$I$283))*(Drucksachen!$F$2:$F$283=J$4))&gt;0,1,0)</f>
        <v/>
      </c>
      <c r="K9" s="18">
        <f>IF(SUMPRODUCT(ISNUMBER(SEARCH($H9,Drucksachen!$I$2:$I$283))*(Drucksachen!$F$2:$F$283=K$4))&gt;0,1,0)</f>
        <v/>
      </c>
      <c r="L9" s="18">
        <f>IF(SUMPRODUCT(ISNUMBER(SEARCH($H9,Drucksachen!$I$2:$I$283))*(Drucksachen!$F$2:$F$283=L$4))&gt;0,1,0)</f>
        <v/>
      </c>
    </row>
    <row r="10">
      <c r="A10" s="18" t="n"/>
      <c r="B10" s="18" t="n"/>
      <c r="C10" s="18" t="n"/>
      <c r="D10" s="18" t="n"/>
      <c r="E10" s="18" t="n"/>
      <c r="F10" s="18" t="n"/>
      <c r="G10" s="18" t="n"/>
      <c r="H10" s="18" t="inlineStr">
        <is>
          <t>Finanzierung</t>
        </is>
      </c>
      <c r="I10" s="18">
        <f>IF(SUMPRODUCT(ISNUMBER(SEARCH($H10,Drucksachen!$I$2:$I$283))*(Drucksachen!$F$2:$F$283=I$4))&gt;0,1,0)</f>
        <v/>
      </c>
      <c r="J10" s="18">
        <f>IF(SUMPRODUCT(ISNUMBER(SEARCH($H10,Drucksachen!$I$2:$I$283))*(Drucksachen!$F$2:$F$283=J$4))&gt;0,1,0)</f>
        <v/>
      </c>
      <c r="K10" s="18">
        <f>IF(SUMPRODUCT(ISNUMBER(SEARCH($H10,Drucksachen!$I$2:$I$283))*(Drucksachen!$F$2:$F$283=K$4))&gt;0,1,0)</f>
        <v/>
      </c>
      <c r="L10" s="18">
        <f>IF(SUMPRODUCT(ISNUMBER(SEARCH($H10,Drucksachen!$I$2:$I$283))*(Drucksachen!$F$2:$F$283=L$4))&gt;0,1,0)</f>
        <v/>
      </c>
    </row>
    <row r="11">
      <c r="A11" s="28" t="inlineStr">
        <is>
          <t>Normiert (Spitzenreiter je Zeile = 100)</t>
        </is>
      </c>
      <c r="B11" s="18" t="n"/>
      <c r="C11" s="18" t="n"/>
      <c r="D11" s="18" t="n"/>
      <c r="E11" s="18" t="n"/>
      <c r="F11" s="18" t="n"/>
      <c r="G11" s="18" t="n"/>
      <c r="H11" s="18" t="inlineStr">
        <is>
          <t>Barrierefreiheit</t>
        </is>
      </c>
      <c r="I11" s="18">
        <f>IF(SUMPRODUCT(ISNUMBER(SEARCH($H11,Drucksachen!$I$2:$I$283))*(Drucksachen!$F$2:$F$283=I$4))&gt;0,1,0)</f>
        <v/>
      </c>
      <c r="J11" s="18">
        <f>IF(SUMPRODUCT(ISNUMBER(SEARCH($H11,Drucksachen!$I$2:$I$283))*(Drucksachen!$F$2:$F$283=J$4))&gt;0,1,0)</f>
        <v/>
      </c>
      <c r="K11" s="18">
        <f>IF(SUMPRODUCT(ISNUMBER(SEARCH($H11,Drucksachen!$I$2:$I$283))*(Drucksachen!$F$2:$F$283=K$4))&gt;0,1,0)</f>
        <v/>
      </c>
      <c r="L11" s="18">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8" t="n"/>
      <c r="G12" s="18" t="n"/>
      <c r="H12" s="18" t="inlineStr">
        <is>
          <t>Deutschlandticket</t>
        </is>
      </c>
      <c r="I12" s="18">
        <f>IF(SUMPRODUCT(ISNUMBER(SEARCH($H12,Drucksachen!$I$2:$I$283))*(Drucksachen!$F$2:$F$283=I$4))&gt;0,1,0)</f>
        <v/>
      </c>
      <c r="J12" s="18">
        <f>IF(SUMPRODUCT(ISNUMBER(SEARCH($H12,Drucksachen!$I$2:$I$283))*(Drucksachen!$F$2:$F$283=J$4))&gt;0,1,0)</f>
        <v/>
      </c>
      <c r="K12" s="18">
        <f>IF(SUMPRODUCT(ISNUMBER(SEARCH($H12,Drucksachen!$I$2:$I$283))*(Drucksachen!$F$2:$F$283=K$4))&gt;0,1,0)</f>
        <v/>
      </c>
      <c r="L12" s="18">
        <f>IF(SUMPRODUCT(ISNUMBER(SEARCH($H12,Drucksachen!$I$2:$I$283))*(Drucksachen!$F$2:$F$283=L$4))&gt;0,1,0)</f>
        <v/>
      </c>
    </row>
    <row r="13">
      <c r="A13" s="18" t="inlineStr">
        <is>
          <t>Initiativen gesamt</t>
        </is>
      </c>
      <c r="B13" s="18">
        <f>IFERROR(ROUND(B5/MAX($B$5:$E$5)*100,0),0)</f>
        <v/>
      </c>
      <c r="C13" s="18">
        <f>IFERROR(ROUND(C5/MAX($B$5:$E$5)*100,0),0)</f>
        <v/>
      </c>
      <c r="D13" s="18">
        <f>IFERROR(ROUND(D5/MAX($B$5:$E$5)*100,0),0)</f>
        <v/>
      </c>
      <c r="E13" s="18">
        <f>IFERROR(ROUND(E5/MAX($B$5:$E$5)*100,0),0)</f>
        <v/>
      </c>
      <c r="F13" s="18" t="n"/>
      <c r="G13" s="18" t="n"/>
      <c r="H13" s="18" t="inlineStr">
        <is>
          <t>Puenktlichkeit/Qualitaet</t>
        </is>
      </c>
      <c r="I13" s="18">
        <f>IF(SUMPRODUCT(ISNUMBER(SEARCH($H13,Drucksachen!$I$2:$I$283))*(Drucksachen!$F$2:$F$283=I$4))&gt;0,1,0)</f>
        <v/>
      </c>
      <c r="J13" s="18">
        <f>IF(SUMPRODUCT(ISNUMBER(SEARCH($H13,Drucksachen!$I$2:$I$283))*(Drucksachen!$F$2:$F$283=J$4))&gt;0,1,0)</f>
        <v/>
      </c>
      <c r="K13" s="18">
        <f>IF(SUMPRODUCT(ISNUMBER(SEARCH($H13,Drucksachen!$I$2:$I$283))*(Drucksachen!$F$2:$F$283=K$4))&gt;0,1,0)</f>
        <v/>
      </c>
      <c r="L13" s="18">
        <f>IF(SUMPRODUCT(ISNUMBER(SEARCH($H13,Drucksachen!$I$2:$I$283))*(Drucksachen!$F$2:$F$283=L$4))&gt;0,1,0)</f>
        <v/>
      </c>
    </row>
    <row r="14">
      <c r="A14" s="18" t="inlineStr">
        <is>
          <t>davon abstimmungsfaehig</t>
        </is>
      </c>
      <c r="B14" s="18">
        <f>IFERROR(ROUND(B6/MAX($B$6:$E$6)*100,0),0)</f>
        <v/>
      </c>
      <c r="C14" s="18">
        <f>IFERROR(ROUND(C6/MAX($B$6:$E$6)*100,0),0)</f>
        <v/>
      </c>
      <c r="D14" s="18">
        <f>IFERROR(ROUND(D6/MAX($B$6:$E$6)*100,0),0)</f>
        <v/>
      </c>
      <c r="E14" s="18">
        <f>IFERROR(ROUND(E6/MAX($B$6:$E$6)*100,0),0)</f>
        <v/>
      </c>
      <c r="F14" s="18" t="n"/>
      <c r="G14" s="18" t="n"/>
      <c r="H14" s="18" t="inlineStr">
        <is>
          <t>Nahverkehr/SPNV</t>
        </is>
      </c>
      <c r="I14" s="18">
        <f>IF(SUMPRODUCT(ISNUMBER(SEARCH($H14,Drucksachen!$I$2:$I$283))*(Drucksachen!$F$2:$F$283=I$4))&gt;0,1,0)</f>
        <v/>
      </c>
      <c r="J14" s="18">
        <f>IF(SUMPRODUCT(ISNUMBER(SEARCH($H14,Drucksachen!$I$2:$I$283))*(Drucksachen!$F$2:$F$283=J$4))&gt;0,1,0)</f>
        <v/>
      </c>
      <c r="K14" s="18">
        <f>IF(SUMPRODUCT(ISNUMBER(SEARCH($H14,Drucksachen!$I$2:$I$283))*(Drucksachen!$F$2:$F$283=K$4))&gt;0,1,0)</f>
        <v/>
      </c>
      <c r="L14" s="18">
        <f>IF(SUMPRODUCT(ISNUMBER(SEARCH($H14,Drucksachen!$I$2:$I$283))*(Drucksachen!$F$2:$F$283=L$4))&gt;0,1,0)</f>
        <v/>
      </c>
    </row>
    <row r="15">
      <c r="A15" s="18" t="inlineStr">
        <is>
          <t>Themenbreite</t>
        </is>
      </c>
      <c r="B15" s="18">
        <f>IFERROR(ROUND(B7/MAX($B$7:$E$7)*100,0),0)</f>
        <v/>
      </c>
      <c r="C15" s="18">
        <f>IFERROR(ROUND(C7/MAX($B$7:$E$7)*100,0),0)</f>
        <v/>
      </c>
      <c r="D15" s="18">
        <f>IFERROR(ROUND(D7/MAX($B$7:$E$7)*100,0),0)</f>
        <v/>
      </c>
      <c r="E15" s="18">
        <f>IFERROR(ROUND(E7/MAX($B$7:$E$7)*100,0),0)</f>
        <v/>
      </c>
      <c r="F15" s="18" t="n"/>
      <c r="G15" s="18" t="n"/>
      <c r="H15" s="18" t="inlineStr">
        <is>
          <t>Deutschlandtakt/Fahrplan</t>
        </is>
      </c>
      <c r="I15" s="18">
        <f>IF(SUMPRODUCT(ISNUMBER(SEARCH($H15,Drucksachen!$I$2:$I$283))*(Drucksachen!$F$2:$F$283=I$4))&gt;0,1,0)</f>
        <v/>
      </c>
      <c r="J15" s="18">
        <f>IF(SUMPRODUCT(ISNUMBER(SEARCH($H15,Drucksachen!$I$2:$I$283))*(Drucksachen!$F$2:$F$283=J$4))&gt;0,1,0)</f>
        <v/>
      </c>
      <c r="K15" s="18">
        <f>IF(SUMPRODUCT(ISNUMBER(SEARCH($H15,Drucksachen!$I$2:$I$283))*(Drucksachen!$F$2:$F$283=K$4))&gt;0,1,0)</f>
        <v/>
      </c>
      <c r="L15" s="18">
        <f>IF(SUMPRODUCT(ISNUMBER(SEARCH($H15,Drucksachen!$I$2:$I$283))*(Drucksachen!$F$2:$F$283=L$4))&gt;0,1,0)</f>
        <v/>
      </c>
    </row>
    <row r="16">
      <c r="A16" s="18" t="inlineStr">
        <is>
          <t>Aktive Quartale</t>
        </is>
      </c>
      <c r="B16" s="18">
        <f>IFERROR(ROUND(B8/MAX($B$8:$E$8)*100,0),0)</f>
        <v/>
      </c>
      <c r="C16" s="18">
        <f>IFERROR(ROUND(C8/MAX($B$8:$E$8)*100,0),0)</f>
        <v/>
      </c>
      <c r="D16" s="18">
        <f>IFERROR(ROUND(D8/MAX($B$8:$E$8)*100,0),0)</f>
        <v/>
      </c>
      <c r="E16" s="18">
        <f>IFERROR(ROUND(E8/MAX($B$8:$E$8)*100,0),0)</f>
        <v/>
      </c>
      <c r="F16" s="18" t="n"/>
      <c r="G16" s="18" t="n"/>
      <c r="H16" s="18" t="inlineStr">
        <is>
          <t>Personal</t>
        </is>
      </c>
      <c r="I16" s="18">
        <f>IF(SUMPRODUCT(ISNUMBER(SEARCH($H16,Drucksachen!$I$2:$I$283))*(Drucksachen!$F$2:$F$283=I$4))&gt;0,1,0)</f>
        <v/>
      </c>
      <c r="J16" s="18">
        <f>IF(SUMPRODUCT(ISNUMBER(SEARCH($H16,Drucksachen!$I$2:$I$283))*(Drucksachen!$F$2:$F$283=J$4))&gt;0,1,0)</f>
        <v/>
      </c>
      <c r="K16" s="18">
        <f>IF(SUMPRODUCT(ISNUMBER(SEARCH($H16,Drucksachen!$I$2:$I$283))*(Drucksachen!$F$2:$F$283=K$4))&gt;0,1,0)</f>
        <v/>
      </c>
      <c r="L16" s="18">
        <f>IF(SUMPRODUCT(ISNUMBER(SEARCH($H16,Drucksachen!$I$2:$I$283))*(Drucksachen!$F$2:$F$283=L$4))&gt;0,1,0)</f>
        <v/>
      </c>
    </row>
    <row r="17">
      <c r="A17" s="18" t="n"/>
      <c r="B17" s="18" t="n"/>
      <c r="C17" s="18" t="n"/>
      <c r="D17" s="18" t="n"/>
      <c r="E17" s="18" t="n"/>
      <c r="F17" s="18" t="n"/>
      <c r="G17" s="18" t="n"/>
      <c r="H17" s="18" t="inlineStr">
        <is>
          <t>Gueterverkehr</t>
        </is>
      </c>
      <c r="I17" s="18">
        <f>IF(SUMPRODUCT(ISNUMBER(SEARCH($H17,Drucksachen!$I$2:$I$283))*(Drucksachen!$F$2:$F$283=I$4))&gt;0,1,0)</f>
        <v/>
      </c>
      <c r="J17" s="18">
        <f>IF(SUMPRODUCT(ISNUMBER(SEARCH($H17,Drucksachen!$I$2:$I$283))*(Drucksachen!$F$2:$F$283=J$4))&gt;0,1,0)</f>
        <v/>
      </c>
      <c r="K17" s="18">
        <f>IF(SUMPRODUCT(ISNUMBER(SEARCH($H17,Drucksachen!$I$2:$I$283))*(Drucksachen!$F$2:$F$283=K$4))&gt;0,1,0)</f>
        <v/>
      </c>
      <c r="L17" s="18">
        <f>IF(SUMPRODUCT(ISNUMBER(SEARCH($H17,Drucksachen!$I$2:$I$283))*(Drucksachen!$F$2:$F$283=L$4))&gt;0,1,0)</f>
        <v/>
      </c>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25" t="inlineStr">
        <is>
          <t>Hilfsraster Quartale</t>
        </is>
      </c>
      <c r="I19" s="18" t="n"/>
      <c r="J19" s="18" t="n"/>
      <c r="K19" s="18" t="n"/>
      <c r="L19" s="18" t="n"/>
    </row>
    <row r="20">
      <c r="A20" s="18" t="n"/>
      <c r="B20" s="18" t="n"/>
      <c r="C20" s="18" t="n"/>
      <c r="D20" s="18" t="n"/>
      <c r="E20" s="18" t="n"/>
      <c r="F20" s="18" t="n"/>
      <c r="G20" s="18" t="n"/>
      <c r="H20" s="18" t="inlineStr">
        <is>
          <t>2021-Q4</t>
        </is>
      </c>
      <c r="I20" s="18">
        <f>IF(COUNTIFS(Drucksachen!$C$2:$C$283,$H20,Drucksachen!$F$2:$F$283,I$4)&gt;0,1,0)</f>
        <v/>
      </c>
      <c r="J20" s="18">
        <f>IF(COUNTIFS(Drucksachen!$C$2:$C$283,$H20,Drucksachen!$F$2:$F$283,J$4)&gt;0,1,0)</f>
        <v/>
      </c>
      <c r="K20" s="18">
        <f>IF(COUNTIFS(Drucksachen!$C$2:$C$283,$H20,Drucksachen!$F$2:$F$283,K$4)&gt;0,1,0)</f>
        <v/>
      </c>
      <c r="L20" s="18">
        <f>IF(COUNTIFS(Drucksachen!$C$2:$C$283,$H20,Drucksachen!$F$2:$F$283,L$4)&gt;0,1,0)</f>
        <v/>
      </c>
    </row>
    <row r="21">
      <c r="A21" s="18" t="n"/>
      <c r="B21" s="18" t="n"/>
      <c r="C21" s="18" t="n"/>
      <c r="D21" s="18" t="n"/>
      <c r="E21" s="18" t="n"/>
      <c r="F21" s="18" t="n"/>
      <c r="G21" s="18" t="n"/>
      <c r="H21" s="18" t="inlineStr">
        <is>
          <t>2022-Q1</t>
        </is>
      </c>
      <c r="I21" s="18">
        <f>IF(COUNTIFS(Drucksachen!$C$2:$C$283,$H21,Drucksachen!$F$2:$F$283,I$4)&gt;0,1,0)</f>
        <v/>
      </c>
      <c r="J21" s="18">
        <f>IF(COUNTIFS(Drucksachen!$C$2:$C$283,$H21,Drucksachen!$F$2:$F$283,J$4)&gt;0,1,0)</f>
        <v/>
      </c>
      <c r="K21" s="18">
        <f>IF(COUNTIFS(Drucksachen!$C$2:$C$283,$H21,Drucksachen!$F$2:$F$283,K$4)&gt;0,1,0)</f>
        <v/>
      </c>
      <c r="L21" s="18">
        <f>IF(COUNTIFS(Drucksachen!$C$2:$C$283,$H21,Drucksachen!$F$2:$F$283,L$4)&gt;0,1,0)</f>
        <v/>
      </c>
    </row>
    <row r="22">
      <c r="A22" s="18" t="n"/>
      <c r="B22" s="18" t="n"/>
      <c r="C22" s="18" t="n"/>
      <c r="D22" s="18" t="n"/>
      <c r="E22" s="18" t="n"/>
      <c r="F22" s="18" t="n"/>
      <c r="G22" s="18" t="n"/>
      <c r="H22" s="18" t="inlineStr">
        <is>
          <t>2022-Q2</t>
        </is>
      </c>
      <c r="I22" s="18">
        <f>IF(COUNTIFS(Drucksachen!$C$2:$C$283,$H22,Drucksachen!$F$2:$F$283,I$4)&gt;0,1,0)</f>
        <v/>
      </c>
      <c r="J22" s="18">
        <f>IF(COUNTIFS(Drucksachen!$C$2:$C$283,$H22,Drucksachen!$F$2:$F$283,J$4)&gt;0,1,0)</f>
        <v/>
      </c>
      <c r="K22" s="18">
        <f>IF(COUNTIFS(Drucksachen!$C$2:$C$283,$H22,Drucksachen!$F$2:$F$283,K$4)&gt;0,1,0)</f>
        <v/>
      </c>
      <c r="L22" s="18">
        <f>IF(COUNTIFS(Drucksachen!$C$2:$C$283,$H22,Drucksachen!$F$2:$F$283,L$4)&gt;0,1,0)</f>
        <v/>
      </c>
    </row>
    <row r="23">
      <c r="A23" s="18" t="n"/>
      <c r="B23" s="18" t="n"/>
      <c r="C23" s="18" t="n"/>
      <c r="D23" s="18" t="n"/>
      <c r="E23" s="18" t="n"/>
      <c r="F23" s="18" t="n"/>
      <c r="G23" s="18" t="n"/>
      <c r="H23" s="18" t="inlineStr">
        <is>
          <t>2022-Q3</t>
        </is>
      </c>
      <c r="I23" s="18">
        <f>IF(COUNTIFS(Drucksachen!$C$2:$C$283,$H23,Drucksachen!$F$2:$F$283,I$4)&gt;0,1,0)</f>
        <v/>
      </c>
      <c r="J23" s="18">
        <f>IF(COUNTIFS(Drucksachen!$C$2:$C$283,$H23,Drucksachen!$F$2:$F$283,J$4)&gt;0,1,0)</f>
        <v/>
      </c>
      <c r="K23" s="18">
        <f>IF(COUNTIFS(Drucksachen!$C$2:$C$283,$H23,Drucksachen!$F$2:$F$283,K$4)&gt;0,1,0)</f>
        <v/>
      </c>
      <c r="L23" s="18">
        <f>IF(COUNTIFS(Drucksachen!$C$2:$C$283,$H23,Drucksachen!$F$2:$F$283,L$4)&gt;0,1,0)</f>
        <v/>
      </c>
    </row>
    <row r="24">
      <c r="A24" s="18" t="n"/>
      <c r="B24" s="18" t="n"/>
      <c r="C24" s="18" t="n"/>
      <c r="D24" s="18" t="n"/>
      <c r="E24" s="18" t="n"/>
      <c r="F24" s="18" t="n"/>
      <c r="G24" s="18" t="n"/>
      <c r="H24" s="18" t="inlineStr">
        <is>
          <t>2022-Q4</t>
        </is>
      </c>
      <c r="I24" s="18">
        <f>IF(COUNTIFS(Drucksachen!$C$2:$C$283,$H24,Drucksachen!$F$2:$F$283,I$4)&gt;0,1,0)</f>
        <v/>
      </c>
      <c r="J24" s="18">
        <f>IF(COUNTIFS(Drucksachen!$C$2:$C$283,$H24,Drucksachen!$F$2:$F$283,J$4)&gt;0,1,0)</f>
        <v/>
      </c>
      <c r="K24" s="18">
        <f>IF(COUNTIFS(Drucksachen!$C$2:$C$283,$H24,Drucksachen!$F$2:$F$283,K$4)&gt;0,1,0)</f>
        <v/>
      </c>
      <c r="L24" s="18">
        <f>IF(COUNTIFS(Drucksachen!$C$2:$C$283,$H24,Drucksachen!$F$2:$F$283,L$4)&gt;0,1,0)</f>
        <v/>
      </c>
    </row>
    <row r="25">
      <c r="A25" s="18" t="n"/>
      <c r="B25" s="18" t="n"/>
      <c r="C25" s="18" t="n"/>
      <c r="D25" s="18" t="n"/>
      <c r="E25" s="18" t="n"/>
      <c r="F25" s="18" t="n"/>
      <c r="G25" s="18" t="n"/>
      <c r="H25" s="18" t="inlineStr">
        <is>
          <t>2023-Q1</t>
        </is>
      </c>
      <c r="I25" s="18">
        <f>IF(COUNTIFS(Drucksachen!$C$2:$C$283,$H25,Drucksachen!$F$2:$F$283,I$4)&gt;0,1,0)</f>
        <v/>
      </c>
      <c r="J25" s="18">
        <f>IF(COUNTIFS(Drucksachen!$C$2:$C$283,$H25,Drucksachen!$F$2:$F$283,J$4)&gt;0,1,0)</f>
        <v/>
      </c>
      <c r="K25" s="18">
        <f>IF(COUNTIFS(Drucksachen!$C$2:$C$283,$H25,Drucksachen!$F$2:$F$283,K$4)&gt;0,1,0)</f>
        <v/>
      </c>
      <c r="L25" s="18">
        <f>IF(COUNTIFS(Drucksachen!$C$2:$C$283,$H25,Drucksachen!$F$2:$F$283,L$4)&gt;0,1,0)</f>
        <v/>
      </c>
    </row>
    <row r="26">
      <c r="A26" s="18" t="n"/>
      <c r="B26" s="18" t="n"/>
      <c r="C26" s="18" t="n"/>
      <c r="D26" s="18" t="n"/>
      <c r="E26" s="18" t="n"/>
      <c r="F26" s="18" t="n"/>
      <c r="G26" s="18" t="n"/>
      <c r="H26" s="18" t="inlineStr">
        <is>
          <t>2023-Q2</t>
        </is>
      </c>
      <c r="I26" s="18">
        <f>IF(COUNTIFS(Drucksachen!$C$2:$C$283,$H26,Drucksachen!$F$2:$F$283,I$4)&gt;0,1,0)</f>
        <v/>
      </c>
      <c r="J26" s="18">
        <f>IF(COUNTIFS(Drucksachen!$C$2:$C$283,$H26,Drucksachen!$F$2:$F$283,J$4)&gt;0,1,0)</f>
        <v/>
      </c>
      <c r="K26" s="18">
        <f>IF(COUNTIFS(Drucksachen!$C$2:$C$283,$H26,Drucksachen!$F$2:$F$283,K$4)&gt;0,1,0)</f>
        <v/>
      </c>
      <c r="L26" s="18">
        <f>IF(COUNTIFS(Drucksachen!$C$2:$C$283,$H26,Drucksachen!$F$2:$F$283,L$4)&gt;0,1,0)</f>
        <v/>
      </c>
    </row>
    <row r="27">
      <c r="A27" s="18" t="n"/>
      <c r="B27" s="18" t="n"/>
      <c r="C27" s="18" t="n"/>
      <c r="D27" s="18" t="n"/>
      <c r="E27" s="18" t="n"/>
      <c r="F27" s="18" t="n"/>
      <c r="G27" s="18" t="n"/>
      <c r="H27" s="18" t="inlineStr">
        <is>
          <t>2023-Q3</t>
        </is>
      </c>
      <c r="I27" s="18">
        <f>IF(COUNTIFS(Drucksachen!$C$2:$C$283,$H27,Drucksachen!$F$2:$F$283,I$4)&gt;0,1,0)</f>
        <v/>
      </c>
      <c r="J27" s="18">
        <f>IF(COUNTIFS(Drucksachen!$C$2:$C$283,$H27,Drucksachen!$F$2:$F$283,J$4)&gt;0,1,0)</f>
        <v/>
      </c>
      <c r="K27" s="18">
        <f>IF(COUNTIFS(Drucksachen!$C$2:$C$283,$H27,Drucksachen!$F$2:$F$283,K$4)&gt;0,1,0)</f>
        <v/>
      </c>
      <c r="L27" s="18">
        <f>IF(COUNTIFS(Drucksachen!$C$2:$C$283,$H27,Drucksachen!$F$2:$F$283,L$4)&gt;0,1,0)</f>
        <v/>
      </c>
    </row>
    <row r="28">
      <c r="A28" s="18" t="n"/>
      <c r="B28" s="18" t="n"/>
      <c r="C28" s="18" t="n"/>
      <c r="D28" s="18" t="n"/>
      <c r="E28" s="18" t="n"/>
      <c r="F28" s="18" t="n"/>
      <c r="G28" s="18" t="n"/>
      <c r="H28" s="18" t="inlineStr">
        <is>
          <t>2023-Q4</t>
        </is>
      </c>
      <c r="I28" s="18">
        <f>IF(COUNTIFS(Drucksachen!$C$2:$C$283,$H28,Drucksachen!$F$2:$F$283,I$4)&gt;0,1,0)</f>
        <v/>
      </c>
      <c r="J28" s="18">
        <f>IF(COUNTIFS(Drucksachen!$C$2:$C$283,$H28,Drucksachen!$F$2:$F$283,J$4)&gt;0,1,0)</f>
        <v/>
      </c>
      <c r="K28" s="18">
        <f>IF(COUNTIFS(Drucksachen!$C$2:$C$283,$H28,Drucksachen!$F$2:$F$283,K$4)&gt;0,1,0)</f>
        <v/>
      </c>
      <c r="L28" s="18">
        <f>IF(COUNTIFS(Drucksachen!$C$2:$C$283,$H28,Drucksachen!$F$2:$F$283,L$4)&gt;0,1,0)</f>
        <v/>
      </c>
    </row>
    <row r="29">
      <c r="A29" s="18" t="n"/>
      <c r="B29" s="18" t="n"/>
      <c r="C29" s="18" t="n"/>
      <c r="D29" s="18" t="n"/>
      <c r="E29" s="18" t="n"/>
      <c r="F29" s="18" t="n"/>
      <c r="G29" s="18" t="n"/>
      <c r="H29" s="18" t="inlineStr">
        <is>
          <t>2024-Q1</t>
        </is>
      </c>
      <c r="I29" s="18">
        <f>IF(COUNTIFS(Drucksachen!$C$2:$C$283,$H29,Drucksachen!$F$2:$F$283,I$4)&gt;0,1,0)</f>
        <v/>
      </c>
      <c r="J29" s="18">
        <f>IF(COUNTIFS(Drucksachen!$C$2:$C$283,$H29,Drucksachen!$F$2:$F$283,J$4)&gt;0,1,0)</f>
        <v/>
      </c>
      <c r="K29" s="18">
        <f>IF(COUNTIFS(Drucksachen!$C$2:$C$283,$H29,Drucksachen!$F$2:$F$283,K$4)&gt;0,1,0)</f>
        <v/>
      </c>
      <c r="L29" s="18">
        <f>IF(COUNTIFS(Drucksachen!$C$2:$C$283,$H29,Drucksachen!$F$2:$F$283,L$4)&gt;0,1,0)</f>
        <v/>
      </c>
    </row>
    <row r="30">
      <c r="A30" s="18" t="n"/>
      <c r="B30" s="18" t="n"/>
      <c r="C30" s="18" t="n"/>
      <c r="D30" s="18" t="n"/>
      <c r="E30" s="18" t="n"/>
      <c r="F30" s="18" t="n"/>
      <c r="G30" s="18" t="n"/>
      <c r="H30" s="18" t="inlineStr">
        <is>
          <t>2024-Q2</t>
        </is>
      </c>
      <c r="I30" s="18">
        <f>IF(COUNTIFS(Drucksachen!$C$2:$C$283,$H30,Drucksachen!$F$2:$F$283,I$4)&gt;0,1,0)</f>
        <v/>
      </c>
      <c r="J30" s="18">
        <f>IF(COUNTIFS(Drucksachen!$C$2:$C$283,$H30,Drucksachen!$F$2:$F$283,J$4)&gt;0,1,0)</f>
        <v/>
      </c>
      <c r="K30" s="18">
        <f>IF(COUNTIFS(Drucksachen!$C$2:$C$283,$H30,Drucksachen!$F$2:$F$283,K$4)&gt;0,1,0)</f>
        <v/>
      </c>
      <c r="L30" s="18">
        <f>IF(COUNTIFS(Drucksachen!$C$2:$C$283,$H30,Drucksachen!$F$2:$F$283,L$4)&gt;0,1,0)</f>
        <v/>
      </c>
    </row>
    <row r="31">
      <c r="A31" s="18" t="n"/>
      <c r="B31" s="18" t="n"/>
      <c r="C31" s="18" t="n"/>
      <c r="D31" s="18" t="n"/>
      <c r="E31" s="18" t="n"/>
      <c r="F31" s="18" t="n"/>
      <c r="G31" s="18" t="n"/>
      <c r="H31" s="18" t="inlineStr">
        <is>
          <t>2024-Q3</t>
        </is>
      </c>
      <c r="I31" s="18">
        <f>IF(COUNTIFS(Drucksachen!$C$2:$C$283,$H31,Drucksachen!$F$2:$F$283,I$4)&gt;0,1,0)</f>
        <v/>
      </c>
      <c r="J31" s="18">
        <f>IF(COUNTIFS(Drucksachen!$C$2:$C$283,$H31,Drucksachen!$F$2:$F$283,J$4)&gt;0,1,0)</f>
        <v/>
      </c>
      <c r="K31" s="18">
        <f>IF(COUNTIFS(Drucksachen!$C$2:$C$283,$H31,Drucksachen!$F$2:$F$283,K$4)&gt;0,1,0)</f>
        <v/>
      </c>
      <c r="L31" s="18">
        <f>IF(COUNTIFS(Drucksachen!$C$2:$C$283,$H31,Drucksachen!$F$2:$F$283,L$4)&gt;0,1,0)</f>
        <v/>
      </c>
    </row>
    <row r="32">
      <c r="A32" s="18" t="n"/>
      <c r="B32" s="18" t="n"/>
      <c r="C32" s="18" t="n"/>
      <c r="D32" s="18" t="n"/>
      <c r="E32" s="18" t="n"/>
      <c r="F32" s="18" t="n"/>
      <c r="G32" s="18" t="n"/>
      <c r="H32" s="18" t="inlineStr">
        <is>
          <t>2024-Q4</t>
        </is>
      </c>
      <c r="I32" s="18">
        <f>IF(COUNTIFS(Drucksachen!$C$2:$C$283,$H32,Drucksachen!$F$2:$F$283,I$4)&gt;0,1,0)</f>
        <v/>
      </c>
      <c r="J32" s="18">
        <f>IF(COUNTIFS(Drucksachen!$C$2:$C$283,$H32,Drucksachen!$F$2:$F$283,J$4)&gt;0,1,0)</f>
        <v/>
      </c>
      <c r="K32" s="18">
        <f>IF(COUNTIFS(Drucksachen!$C$2:$C$283,$H32,Drucksachen!$F$2:$F$283,K$4)&gt;0,1,0)</f>
        <v/>
      </c>
      <c r="L32" s="18">
        <f>IF(COUNTIFS(Drucksachen!$C$2:$C$283,$H32,Drucksachen!$F$2:$F$283,L$4)&gt;0,1,0)</f>
        <v/>
      </c>
    </row>
    <row r="33">
      <c r="A33" s="18" t="n"/>
      <c r="B33" s="18" t="n"/>
      <c r="C33" s="18" t="n"/>
      <c r="D33" s="18" t="n"/>
      <c r="E33" s="18" t="n"/>
      <c r="F33" s="18" t="n"/>
      <c r="G33" s="18" t="n"/>
      <c r="H33" s="18" t="inlineStr">
        <is>
          <t>2025-Q1</t>
        </is>
      </c>
      <c r="I33" s="18">
        <f>IF(COUNTIFS(Drucksachen!$C$2:$C$283,$H33,Drucksachen!$F$2:$F$283,I$4)&gt;0,1,0)</f>
        <v/>
      </c>
      <c r="J33" s="18">
        <f>IF(COUNTIFS(Drucksachen!$C$2:$C$283,$H33,Drucksachen!$F$2:$F$283,J$4)&gt;0,1,0)</f>
        <v/>
      </c>
      <c r="K33" s="18">
        <f>IF(COUNTIFS(Drucksachen!$C$2:$C$283,$H33,Drucksachen!$F$2:$F$283,K$4)&gt;0,1,0)</f>
        <v/>
      </c>
      <c r="L33" s="18">
        <f>IF(COUNTIFS(Drucksachen!$C$2:$C$283,$H33,Drucksachen!$F$2:$F$283,L$4)&gt;0,1,0)</f>
        <v/>
      </c>
    </row>
    <row r="34">
      <c r="A34" s="18" t="n"/>
      <c r="B34" s="18" t="n"/>
      <c r="C34" s="18" t="n"/>
      <c r="D34" s="18" t="n"/>
      <c r="E34" s="18" t="n"/>
      <c r="F34" s="18" t="n"/>
      <c r="G34" s="18" t="n"/>
      <c r="H34" s="18" t="inlineStr">
        <is>
          <t>2025-Q2</t>
        </is>
      </c>
      <c r="I34" s="18">
        <f>IF(COUNTIFS(Drucksachen!$C$2:$C$283,$H34,Drucksachen!$F$2:$F$283,I$4)&gt;0,1,0)</f>
        <v/>
      </c>
      <c r="J34" s="18">
        <f>IF(COUNTIFS(Drucksachen!$C$2:$C$283,$H34,Drucksachen!$F$2:$F$283,J$4)&gt;0,1,0)</f>
        <v/>
      </c>
      <c r="K34" s="18">
        <f>IF(COUNTIFS(Drucksachen!$C$2:$C$283,$H34,Drucksachen!$F$2:$F$283,K$4)&gt;0,1,0)</f>
        <v/>
      </c>
      <c r="L34" s="18">
        <f>IF(COUNTIFS(Drucksachen!$C$2:$C$283,$H34,Drucksachen!$F$2:$F$283,L$4)&gt;0,1,0)</f>
        <v/>
      </c>
    </row>
    <row r="35">
      <c r="A35" s="18" t="n"/>
      <c r="B35" s="18" t="n"/>
      <c r="C35" s="18" t="n"/>
      <c r="D35" s="18" t="n"/>
      <c r="E35" s="18" t="n"/>
      <c r="F35" s="18" t="n"/>
      <c r="G35" s="18" t="n"/>
      <c r="H35" s="18" t="inlineStr">
        <is>
          <t>2025-Q3</t>
        </is>
      </c>
      <c r="I35" s="18">
        <f>IF(COUNTIFS(Drucksachen!$C$2:$C$283,$H35,Drucksachen!$F$2:$F$283,I$4)&gt;0,1,0)</f>
        <v/>
      </c>
      <c r="J35" s="18">
        <f>IF(COUNTIFS(Drucksachen!$C$2:$C$283,$H35,Drucksachen!$F$2:$F$283,J$4)&gt;0,1,0)</f>
        <v/>
      </c>
      <c r="K35" s="18">
        <f>IF(COUNTIFS(Drucksachen!$C$2:$C$283,$H35,Drucksachen!$F$2:$F$283,K$4)&gt;0,1,0)</f>
        <v/>
      </c>
      <c r="L35" s="18">
        <f>IF(COUNTIFS(Drucksachen!$C$2:$C$283,$H35,Drucksachen!$F$2:$F$283,L$4)&gt;0,1,0)</f>
        <v/>
      </c>
    </row>
    <row r="36">
      <c r="A36" s="18" t="n"/>
      <c r="B36" s="18" t="n"/>
      <c r="C36" s="18" t="n"/>
      <c r="D36" s="18" t="n"/>
      <c r="E36" s="18" t="n"/>
      <c r="F36" s="18" t="n"/>
      <c r="G36" s="18" t="n"/>
      <c r="H36" s="18" t="inlineStr">
        <is>
          <t>2025-Q4</t>
        </is>
      </c>
      <c r="I36" s="18">
        <f>IF(COUNTIFS(Drucksachen!$C$2:$C$283,$H36,Drucksachen!$F$2:$F$283,I$4)&gt;0,1,0)</f>
        <v/>
      </c>
      <c r="J36" s="18">
        <f>IF(COUNTIFS(Drucksachen!$C$2:$C$283,$H36,Drucksachen!$F$2:$F$283,J$4)&gt;0,1,0)</f>
        <v/>
      </c>
      <c r="K36" s="18">
        <f>IF(COUNTIFS(Drucksachen!$C$2:$C$283,$H36,Drucksachen!$F$2:$F$283,K$4)&gt;0,1,0)</f>
        <v/>
      </c>
      <c r="L36" s="18">
        <f>IF(COUNTIFS(Drucksachen!$C$2:$C$283,$H36,Drucksachen!$F$2:$F$283,L$4)&gt;0,1,0)</f>
        <v/>
      </c>
    </row>
    <row r="37">
      <c r="A37" s="18" t="n"/>
      <c r="B37" s="18" t="n"/>
      <c r="C37" s="18" t="n"/>
      <c r="D37" s="18" t="n"/>
      <c r="E37" s="18" t="n"/>
      <c r="F37" s="18" t="n"/>
      <c r="G37" s="18" t="n"/>
      <c r="H37" s="18" t="inlineStr">
        <is>
          <t>2026-Q1</t>
        </is>
      </c>
      <c r="I37" s="18">
        <f>IF(COUNTIFS(Drucksachen!$C$2:$C$283,$H37,Drucksachen!$F$2:$F$283,I$4)&gt;0,1,0)</f>
        <v/>
      </c>
      <c r="J37" s="18">
        <f>IF(COUNTIFS(Drucksachen!$C$2:$C$283,$H37,Drucksachen!$F$2:$F$283,J$4)&gt;0,1,0)</f>
        <v/>
      </c>
      <c r="K37" s="18">
        <f>IF(COUNTIFS(Drucksachen!$C$2:$C$283,$H37,Drucksachen!$F$2:$F$283,K$4)&gt;0,1,0)</f>
        <v/>
      </c>
      <c r="L37" s="18">
        <f>IF(COUNTIFS(Drucksachen!$C$2:$C$283,$H37,Drucksachen!$F$2:$F$283,L$4)&gt;0,1,0)</f>
        <v/>
      </c>
    </row>
    <row r="38">
      <c r="A38" s="18" t="n"/>
      <c r="B38" s="18" t="n"/>
      <c r="C38" s="18" t="n"/>
      <c r="D38" s="18" t="n"/>
      <c r="E38" s="18" t="n"/>
      <c r="F38" s="18" t="n"/>
      <c r="G38" s="18" t="n"/>
      <c r="H38" s="18" t="inlineStr">
        <is>
          <t>2026-Q2</t>
        </is>
      </c>
      <c r="I38" s="18">
        <f>IF(COUNTIFS(Drucksachen!$C$2:$C$283,$H38,Drucksachen!$F$2:$F$283,I$4)&gt;0,1,0)</f>
        <v/>
      </c>
      <c r="J38" s="18">
        <f>IF(COUNTIFS(Drucksachen!$C$2:$C$283,$H38,Drucksachen!$F$2:$F$283,J$4)&gt;0,1,0)</f>
        <v/>
      </c>
      <c r="K38" s="18">
        <f>IF(COUNTIFS(Drucksachen!$C$2:$C$283,$H38,Drucksachen!$F$2:$F$283,K$4)&gt;0,1,0)</f>
        <v/>
      </c>
      <c r="L38" s="18">
        <f>IF(COUNTIFS(Drucksachen!$C$2:$C$283,$H38,Drucksachen!$F$2:$F$283,L$4)&gt;0,1,0)</f>
        <v/>
      </c>
    </row>
    <row r="39">
      <c r="A39" s="18" t="n"/>
      <c r="B39" s="18" t="n"/>
      <c r="C39" s="18" t="n"/>
      <c r="D39" s="18" t="n"/>
      <c r="E39" s="18" t="n"/>
      <c r="F39" s="18" t="n"/>
      <c r="G39" s="18" t="n"/>
      <c r="H39" s="18" t="inlineStr">
        <is>
          <t>2026-Q3</t>
        </is>
      </c>
      <c r="I39" s="18">
        <f>IF(COUNTIFS(Drucksachen!$C$2:$C$283,$H39,Drucksachen!$F$2:$F$283,I$4)&gt;0,1,0)</f>
        <v/>
      </c>
      <c r="J39" s="18">
        <f>IF(COUNTIFS(Drucksachen!$C$2:$C$283,$H39,Drucksachen!$F$2:$F$283,J$4)&gt;0,1,0)</f>
        <v/>
      </c>
      <c r="K39" s="18">
        <f>IF(COUNTIFS(Drucksachen!$C$2:$C$283,$H39,Drucksachen!$F$2:$F$283,K$4)&gt;0,1,0)</f>
        <v/>
      </c>
      <c r="L39" s="18">
        <f>IF(COUNTIFS(Drucksachen!$C$2:$C$283,$H39,Drucksachen!$F$2:$F$283,L$4)&gt;0,1,0)</f>
        <v/>
      </c>
    </row>
  </sheetData>
  <mergeCells count="1">
    <mergeCell ref="A2:H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2026-07-24T07:09:35Z</dcterms:created>
  <dcterms:modified xsi:type="dcterms:W3CDTF">2026-07-24T07:09:36Z</dcterms:modified>
</cp:coreProperties>
</file>