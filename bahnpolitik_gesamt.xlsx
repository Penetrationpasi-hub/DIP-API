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rucksachen" sheetId="2" state="visible" r:id="rId2"/>
    <sheet name="Initiativen" sheetId="3" state="visible" r:id="rId3"/>
    <sheet name="Zeitverlauf" sheetId="4" state="visible" r:id="rId4"/>
    <sheet name="Themen" sheetId="5" state="visible" r:id="rId5"/>
    <sheet name="Antwortzeiten" sheetId="6" state="visible" r:id="rId6"/>
    <sheet name="Abstimmungen" sheetId="7" state="visible" r:id="rId7"/>
    <sheet name="Profil" sheetId="8" state="visible" r:id="rId8"/>
    <sheet name="Bewertung" sheetId="9" state="visible" r:id="rId9"/>
  </sheets>
  <definedNames>
    <definedName name="_xlnm._FilterDatabase" localSheetId="1" hidden="1">'Drucksachen'!$A$1:$Q$293</definedName>
    <definedName name="_xlnm._FilterDatabase" localSheetId="6" hidden="1">'Abstimmungen'!$A$4:$K$47</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19">
    <font>
      <name val="Calibri"/>
      <family val="2"/>
      <color theme="1"/>
      <sz val="11"/>
      <scheme val="minor"/>
    </font>
    <font>
      <name val="Arial"/>
      <b val="1"/>
      <color rgb="00FFFFFF"/>
      <sz val="10"/>
    </font>
    <font>
      <name val="Arial"/>
      <color rgb="000563C1"/>
      <sz val="10"/>
      <u val="single"/>
    </font>
    <font>
      <name val="Arial"/>
      <b val="1"/>
      <color rgb="00808080"/>
      <sz val="9"/>
    </font>
    <font>
      <name val="Arial"/>
      <sz val="10"/>
    </font>
    <font>
      <name val="Arial"/>
      <b val="1"/>
      <color rgb="001D3C6E"/>
      <sz val="13"/>
    </font>
    <font>
      <name val="Arial"/>
      <i val="1"/>
      <sz val="9"/>
    </font>
    <font>
      <name val="Arial"/>
      <b val="1"/>
      <sz val="10"/>
    </font>
    <font>
      <name val="Arial"/>
      <b val="1"/>
      <color rgb="00A0A0A0"/>
      <sz val="8"/>
    </font>
    <font>
      <name val="Arial"/>
      <color rgb="00A0A0A0"/>
      <sz val="8"/>
    </font>
    <font>
      <name val="Arial"/>
      <b val="1"/>
      <color rgb="001D3C6E"/>
      <sz val="16"/>
    </font>
    <font>
      <name val="Arial"/>
      <i val="1"/>
      <color rgb="00606060"/>
      <sz val="10"/>
    </font>
    <font>
      <name val="Arial"/>
      <color rgb="00404040"/>
      <sz val="10"/>
    </font>
    <font>
      <name val="Arial"/>
      <b val="1"/>
      <color rgb="001D3C6E"/>
      <sz val="12"/>
    </font>
    <font>
      <name val="Arial"/>
      <color rgb="00404040"/>
      <sz val="9"/>
    </font>
    <font>
      <name val="Arial"/>
      <i val="1"/>
      <color rgb="009C0006"/>
      <sz val="9"/>
    </font>
    <font>
      <name val="Arial"/>
      <i val="1"/>
      <color rgb="00606060"/>
      <sz val="9"/>
    </font>
    <font>
      <name val="Arial"/>
      <b val="1"/>
      <color rgb="001D3C6E"/>
      <sz val="11"/>
    </font>
    <font>
      <name val="Arial"/>
      <b val="1"/>
      <color rgb="000000FF"/>
      <sz val="10"/>
    </font>
  </fonts>
  <fills count="6">
    <fill>
      <patternFill/>
    </fill>
    <fill>
      <patternFill patternType="gray125"/>
    </fill>
    <fill>
      <patternFill patternType="solid">
        <fgColor rgb="001D3C6E"/>
      </patternFill>
    </fill>
    <fill>
      <patternFill patternType="solid">
        <fgColor rgb="00DCE4F0"/>
      </patternFill>
    </fill>
    <fill>
      <patternFill patternType="solid">
        <fgColor rgb="00F2F2F2"/>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0" fillId="0" borderId="0" pivotButton="0" quotePrefix="0" xfId="0"/>
    <xf numFmtId="0" fontId="11" fillId="0" borderId="0" pivotButton="0" quotePrefix="0" xfId="0"/>
    <xf numFmtId="0" fontId="3" fillId="0" borderId="0" pivotButton="0" quotePrefix="0" xfId="0"/>
    <xf numFmtId="0" fontId="12" fillId="4" borderId="1" pivotButton="0" quotePrefix="0" xfId="0"/>
    <xf numFmtId="1" fontId="13" fillId="0" borderId="1" applyAlignment="1" pivotButton="0" quotePrefix="0" xfId="0">
      <alignment horizontal="right"/>
    </xf>
    <xf numFmtId="49" fontId="13" fillId="0" borderId="1" applyAlignment="1" pivotButton="0" quotePrefix="0" xfId="0">
      <alignment horizontal="right"/>
    </xf>
    <xf numFmtId="167" fontId="13" fillId="0" borderId="1" applyAlignment="1" pivotButton="0" quotePrefix="0" xfId="0">
      <alignment horizontal="right"/>
    </xf>
    <xf numFmtId="165" fontId="13" fillId="0" borderId="1" applyAlignment="1" pivotButton="0" quotePrefix="0" xfId="0">
      <alignment horizontal="right"/>
    </xf>
    <xf numFmtId="0" fontId="13" fillId="0" borderId="0" pivotButton="0" quotePrefix="0" xfId="0"/>
    <xf numFmtId="0" fontId="14" fillId="0" borderId="0" applyAlignment="1" pivotButton="0" quotePrefix="0" xfId="0">
      <alignment vertical="top" wrapText="1"/>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165" fontId="4" fillId="0" borderId="0" applyAlignment="1" pivotButton="0" quotePrefix="0" xfId="0">
      <alignment vertical="top"/>
    </xf>
    <xf numFmtId="0" fontId="4" fillId="0" borderId="0" applyAlignment="1" pivotButton="0" quotePrefix="0" xfId="0">
      <alignment vertical="top"/>
    </xf>
    <xf numFmtId="1" fontId="4" fillId="0" borderId="0" applyAlignment="1" pivotButton="0" quotePrefix="0" xfId="0">
      <alignment vertical="top"/>
    </xf>
    <xf numFmtId="0" fontId="2" fillId="0" borderId="0" applyAlignment="1" pivotButton="0" quotePrefix="0" xfId="0">
      <alignment vertical="top"/>
    </xf>
    <xf numFmtId="0" fontId="5" fillId="0" borderId="0" pivotButton="0" quotePrefix="0" xfId="0"/>
    <xf numFmtId="0" fontId="6" fillId="0" borderId="0" pivotButton="0" quotePrefix="0" xfId="0"/>
    <xf numFmtId="0" fontId="4" fillId="0" borderId="0" pivotButton="0" quotePrefix="0" xfId="0"/>
    <xf numFmtId="166" fontId="4" fillId="0" borderId="0" pivotButton="0" quotePrefix="0" xfId="0"/>
    <xf numFmtId="0" fontId="7" fillId="3" borderId="0" pivotButton="0" quotePrefix="0" xfId="0"/>
    <xf numFmtId="0" fontId="8" fillId="0" borderId="0" pivotButton="0" quotePrefix="0" xfId="0"/>
    <xf numFmtId="0" fontId="9" fillId="0" borderId="0" pivotButton="0" quotePrefix="0" xfId="0"/>
    <xf numFmtId="167" fontId="4" fillId="0" borderId="0" pivotButton="0" quotePrefix="0" xfId="0"/>
    <xf numFmtId="165" fontId="0" fillId="0" borderId="0" pivotButton="0" quotePrefix="0" xfId="0"/>
    <xf numFmtId="0" fontId="0" fillId="0" borderId="1" pivotButton="0" quotePrefix="0" xfId="0"/>
    <xf numFmtId="0" fontId="15" fillId="0" borderId="0" pivotButton="0" quotePrefix="0" xfId="0"/>
    <xf numFmtId="0" fontId="7" fillId="0" borderId="0" pivotButton="0" quotePrefix="0" xfId="0"/>
    <xf numFmtId="0" fontId="16" fillId="0" borderId="0" pivotButton="0" quotePrefix="0" xfId="0"/>
    <xf numFmtId="0" fontId="17" fillId="0" borderId="0" pivotButton="0" quotePrefix="0" xfId="0"/>
    <xf numFmtId="1" fontId="18"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2"/>
  <chart>
    <title>
      <tx>
        <rich>
          <a:bodyPr/>
          <a:p>
            <a:pPr>
              <a:defRPr/>
            </a:pPr>
            <a:r>
              <a:t>Drucksachen nach Typ</a:t>
            </a:r>
          </a:p>
        </rich>
      </tx>
    </title>
    <plotArea>
      <pieChart>
        <varyColors val="1"/>
        <ser>
          <idx val="0"/>
          <order val="0"/>
          <tx>
            <strRef>
              <f>'Dashboard'!O3</f>
            </strRef>
          </tx>
          <spPr>
            <a:ln>
              <a:prstDash val="solid"/>
            </a:ln>
          </spPr>
          <cat>
            <strRef>
              <f>'Dashboard'!$N$4:$N$12</f>
            </strRef>
          </cat>
          <val>
            <numRef>
              <f>'Dashboard'!$O$4:$O$12</f>
            </numRef>
          </val>
        </ser>
        <dLbls>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Drucksachen nach parlamentarischer Rolle</a:t>
            </a:r>
          </a:p>
        </rich>
      </tx>
    </title>
    <plotArea>
      <barChart>
        <barDir val="bar"/>
        <grouping val="clustered"/>
        <ser>
          <idx val="0"/>
          <order val="0"/>
          <tx>
            <strRef>
              <f>'Dashboard'!O14</f>
            </strRef>
          </tx>
          <spPr>
            <a:ln>
              <a:prstDash val="solid"/>
            </a:ln>
          </spPr>
          <cat>
            <strRef>
              <f>'Dashboard'!$N$15:$N$20</f>
            </strRef>
          </cat>
          <val>
            <numRef>
              <f>'Dashboard'!$O$15:$O$20</f>
            </numRef>
          </val>
        </ser>
        <gapWidth val="150"/>
        <axId val="10"/>
        <axId val="100"/>
      </barChart>
      <catAx>
        <axId val="10"/>
        <scaling>
          <orientation val="minMax"/>
        </scaling>
        <delete val="0"/>
        <axPos val="l"/>
        <majorTickMark val="out"/>
        <minorTickMark val="none"/>
        <tickLblPos val="nextTo"/>
        <crossAx val="100"/>
        <lblOffset val="100"/>
      </catAx>
      <valAx>
        <axId val="100"/>
        <scaling>
          <orientation val="minMax"/>
        </scaling>
        <delete val="0"/>
        <axPos val="b"/>
        <majorGridlines/>
        <majorTickMark val="none"/>
        <minorTickMark val="none"/>
        <tickLblPos val="nextTo"/>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Eigene Initiativen je Fraktion, nach Drucksachentyp</a:t>
            </a:r>
          </a:p>
        </rich>
      </tx>
    </title>
    <plotArea>
      <barChart>
        <barDir val="col"/>
        <grouping val="stacked"/>
        <ser>
          <idx val="0"/>
          <order val="0"/>
          <tx>
            <strRef>
              <f>'Initiativen'!C4</f>
            </strRef>
          </tx>
          <spPr>
            <a:ln>
              <a:prstDash val="solid"/>
            </a:ln>
          </spPr>
          <cat>
            <strRef>
              <f>'Initiativen'!$A$5:$A$9</f>
            </strRef>
          </cat>
          <val>
            <numRef>
              <f>'Initiativen'!$C$5:$C$9</f>
            </numRef>
          </val>
        </ser>
        <ser>
          <idx val="1"/>
          <order val="1"/>
          <tx>
            <strRef>
              <f>'Initiativen'!D4</f>
            </strRef>
          </tx>
          <spPr>
            <a:ln>
              <a:prstDash val="solid"/>
            </a:ln>
          </spPr>
          <cat>
            <strRef>
              <f>'Initiativen'!$A$5:$A$9</f>
            </strRef>
          </cat>
          <val>
            <numRef>
              <f>'Initiativen'!$D$5:$D$9</f>
            </numRef>
          </val>
        </ser>
        <ser>
          <idx val="2"/>
          <order val="2"/>
          <tx>
            <strRef>
              <f>'Initiativen'!E4</f>
            </strRef>
          </tx>
          <spPr>
            <a:ln>
              <a:prstDash val="solid"/>
            </a:ln>
          </spPr>
          <cat>
            <strRef>
              <f>'Initiativen'!$A$5:$A$9</f>
            </strRef>
          </cat>
          <val>
            <numRef>
              <f>'Initiativen'!$E$5:$E$9</f>
            </numRef>
          </val>
        </ser>
        <ser>
          <idx val="3"/>
          <order val="3"/>
          <tx>
            <strRef>
              <f>'Initiativen'!F4</f>
            </strRef>
          </tx>
          <spPr>
            <a:ln>
              <a:prstDash val="solid"/>
            </a:ln>
          </spPr>
          <cat>
            <strRef>
              <f>'Initiativen'!$A$5:$A$9</f>
            </strRef>
          </cat>
          <val>
            <numRef>
              <f>'Initiativen'!$F$5:$F$9</f>
            </numRef>
          </val>
        </ser>
        <gapWidth val="150"/>
        <overlap val="100"/>
        <axId val="10"/>
        <axId val="100"/>
      </barChart>
      <catAx>
        <axId val="10"/>
        <scaling>
          <orientation val="minMax"/>
        </scaling>
        <delete val="0"/>
        <axPos val="b"/>
        <title>
          <tx>
            <rich>
              <a:bodyPr/>
              <a:p>
                <a:pPr>
                  <a:defRPr/>
                </a:pPr>
                <a:r>
                  <a:t>Fraktion</a:t>
                </a:r>
              </a:p>
            </rich>
          </tx>
        </title>
        <majorTickMark val="out"/>
        <minorTickMark val="none"/>
        <tickLblPos val="nextTo"/>
        <crossAx val="100"/>
        <lblOffset val="100"/>
      </catAx>
      <valAx>
        <axId val="100"/>
        <scaling>
          <orientation val="minMax"/>
        </scaling>
        <delete val="0"/>
        <axPos val="l"/>
        <majorGridlines/>
        <title>
          <tx>
            <rich>
              <a:bodyPr/>
              <a:p>
                <a:pPr>
                  <a:defRPr/>
                </a:pPr>
                <a:r>
                  <a:t>Drucksachen</a:t>
                </a:r>
              </a:p>
            </rich>
          </tx>
        </title>
        <majorTickMark val="none"/>
        <minorTickMark val="none"/>
        <tickLblPos val="nextTo"/>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Anteil der Fraktionen an allen Initiativen</a:t>
            </a:r>
          </a:p>
        </rich>
      </tx>
    </title>
    <plotArea>
      <pieChart>
        <varyColors val="1"/>
        <ser>
          <idx val="0"/>
          <order val="0"/>
          <tx>
            <strRef>
              <f>'Initiativen'!G4</f>
            </strRef>
          </tx>
          <spPr>
            <a:ln>
              <a:prstDash val="solid"/>
            </a:ln>
          </spPr>
          <dPt>
            <idx val="0"/>
            <spPr>
              <a:solidFill>
                <a:srgbClr val="1A1A1A"/>
              </a:solidFill>
              <a:ln>
                <a:solidFill>
                  <a:srgbClr val="FFFFFF"/>
                </a:solidFill>
                <a:prstDash val="solid"/>
              </a:ln>
            </spPr>
          </dPt>
          <dPt>
            <idx val="1"/>
            <spPr>
              <a:solidFill>
                <a:srgbClr val="1AA037"/>
              </a:solidFill>
              <a:ln>
                <a:solidFill>
                  <a:srgbClr val="FFFFFF"/>
                </a:solidFill>
                <a:prstDash val="solid"/>
              </a:ln>
            </spPr>
          </dPt>
          <dPt>
            <idx val="2"/>
            <spPr>
              <a:solidFill>
                <a:srgbClr val="009EE0"/>
              </a:solidFill>
              <a:ln>
                <a:solidFill>
                  <a:srgbClr val="FFFFFF"/>
                </a:solidFill>
                <a:prstDash val="solid"/>
              </a:ln>
            </spPr>
          </dPt>
          <dPt>
            <idx val="3"/>
            <spPr>
              <a:solidFill>
                <a:srgbClr val="BE3075"/>
              </a:solidFill>
              <a:ln>
                <a:solidFill>
                  <a:srgbClr val="FFFFFF"/>
                </a:solidFill>
                <a:prstDash val="solid"/>
              </a:ln>
            </spPr>
          </dPt>
          <cat>
            <strRef>
              <f>'Initiativen'!$A$5:$A$8</f>
            </strRef>
          </cat>
          <val>
            <numRef>
              <f>'Initiativen'!$G$5:$G$8</f>
            </numRef>
          </val>
        </ser>
        <dLbls>
          <showLegendKey val="0"/>
          <showVal val="1"/>
          <showCatName val="1"/>
          <showSerName val="0"/>
          <showPercent val="1"/>
        </dLbls>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Bahnpolitische Drucksachen je Quartal</a:t>
            </a:r>
          </a:p>
        </rich>
      </tx>
    </title>
    <plotArea>
      <barChart>
        <barDir val="col"/>
        <grouping val="stacked"/>
        <ser>
          <idx val="0"/>
          <order val="0"/>
          <tx>
            <strRef>
              <f>'Zeitverlauf'!B3</f>
            </strRef>
          </tx>
          <spPr>
            <a:solidFill>
              <a:srgbClr val="1A1A1A"/>
            </a:solidFill>
            <a:ln>
              <a:prstDash val="solid"/>
            </a:ln>
          </spPr>
          <cat>
            <strRef>
              <f>'Zeitverlauf'!$A$4:$A$23</f>
            </strRef>
          </cat>
          <val>
            <numRef>
              <f>'Zeitverlauf'!$B$4:$B$23</f>
            </numRef>
          </val>
        </ser>
        <ser>
          <idx val="1"/>
          <order val="1"/>
          <tx>
            <strRef>
              <f>'Zeitverlauf'!C3</f>
            </strRef>
          </tx>
          <spPr>
            <a:solidFill>
              <a:srgbClr val="1AA037"/>
            </a:solidFill>
            <a:ln>
              <a:prstDash val="solid"/>
            </a:ln>
          </spPr>
          <cat>
            <strRef>
              <f>'Zeitverlauf'!$A$4:$A$23</f>
            </strRef>
          </cat>
          <val>
            <numRef>
              <f>'Zeitverlauf'!$C$4:$C$23</f>
            </numRef>
          </val>
        </ser>
        <ser>
          <idx val="2"/>
          <order val="2"/>
          <tx>
            <strRef>
              <f>'Zeitverlauf'!D3</f>
            </strRef>
          </tx>
          <spPr>
            <a:solidFill>
              <a:srgbClr val="009EE0"/>
            </a:solidFill>
            <a:ln>
              <a:prstDash val="solid"/>
            </a:ln>
          </spPr>
          <cat>
            <strRef>
              <f>'Zeitverlauf'!$A$4:$A$23</f>
            </strRef>
          </cat>
          <val>
            <numRef>
              <f>'Zeitverlauf'!$D$4:$D$23</f>
            </numRef>
          </val>
        </ser>
        <ser>
          <idx val="3"/>
          <order val="3"/>
          <tx>
            <strRef>
              <f>'Zeitverlauf'!E3</f>
            </strRef>
          </tx>
          <spPr>
            <a:solidFill>
              <a:srgbClr val="BE3075"/>
            </a:solidFill>
            <a:ln>
              <a:prstDash val="solid"/>
            </a:ln>
          </spPr>
          <cat>
            <strRef>
              <f>'Zeitverlauf'!$A$4:$A$23</f>
            </strRef>
          </cat>
          <val>
            <numRef>
              <f>'Zeitverlauf'!$E$4:$E$23</f>
            </numRef>
          </val>
        </ser>
        <ser>
          <idx val="4"/>
          <order val="4"/>
          <tx>
            <strRef>
              <f>'Zeitverlauf'!F3</f>
            </strRef>
          </tx>
          <spPr>
            <a:solidFill>
              <a:srgbClr val="9E9E9E"/>
            </a:solidFill>
            <a:ln>
              <a:prstDash val="solid"/>
            </a:ln>
          </spPr>
          <cat>
            <strRef>
              <f>'Zeitverlauf'!$A$4:$A$23</f>
            </strRef>
          </cat>
          <val>
            <numRef>
              <f>'Zeitverlauf'!$F$4:$F$23</f>
            </numRef>
          </val>
        </ser>
        <ser>
          <idx val="5"/>
          <order val="5"/>
          <tx>
            <strRef>
              <f>'Zeitverlauf'!G3</f>
            </strRef>
          </tx>
          <spPr>
            <a:solidFill>
              <a:srgbClr val="5A6B7B"/>
            </a:solidFill>
            <a:ln>
              <a:prstDash val="solid"/>
            </a:ln>
          </spPr>
          <cat>
            <strRef>
              <f>'Zeitverlauf'!$A$4:$A$23</f>
            </strRef>
          </cat>
          <val>
            <numRef>
              <f>'Zeitverlauf'!$G$4:$G$23</f>
            </numRef>
          </val>
        </ser>
        <ser>
          <idx val="6"/>
          <order val="6"/>
          <tx>
            <strRef>
              <f>'Zeitverlauf'!H3</f>
            </strRef>
          </tx>
          <spPr>
            <a:solidFill>
              <a:srgbClr val="B9BFC6"/>
            </a:solidFill>
            <a:ln>
              <a:prstDash val="solid"/>
            </a:ln>
          </spPr>
          <cat>
            <strRef>
              <f>'Zeitverlauf'!$A$4:$A$23</f>
            </strRef>
          </cat>
          <val>
            <numRef>
              <f>'Zeitverlauf'!$H$4:$H$23</f>
            </numRef>
          </val>
        </ser>
        <gapWidth val="150"/>
        <overlap val="100"/>
        <axId val="10"/>
        <axId val="100"/>
      </barChart>
      <catAx>
        <axId val="10"/>
        <scaling>
          <orientation val="minMax"/>
        </scaling>
        <delete val="0"/>
        <axPos val="b"/>
        <title>
          <tx>
            <rich>
              <a:bodyPr/>
              <a:p>
                <a:pPr>
                  <a:defRPr/>
                </a:pPr>
                <a:r>
                  <a:t>Quartal</a:t>
                </a:r>
              </a:p>
            </rich>
          </tx>
        </title>
        <majorTickMark val="out"/>
        <minorTickMark val="none"/>
        <tickLblPos val="nextTo"/>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Drucksachen</a:t>
                </a:r>
              </a:p>
            </rich>
          </tx>
        </title>
        <majorTickMark val="none"/>
        <minorTickMark val="none"/>
        <tickLblPos val="nextTo"/>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Gesamtaufkommen im Zeitverlauf</a:t>
            </a:r>
          </a:p>
        </rich>
      </tx>
    </title>
    <plotArea>
      <lineChart>
        <grouping val="standard"/>
        <ser>
          <idx val="0"/>
          <order val="0"/>
          <tx>
            <strRef>
              <f>'Zeitverlauf'!I3</f>
            </strRef>
          </tx>
          <spPr>
            <a:ln>
              <a:prstDash val="solid"/>
            </a:ln>
          </spPr>
          <marker>
            <symbol val="none"/>
            <spPr>
              <a:ln>
                <a:prstDash val="solid"/>
              </a:ln>
            </spPr>
          </marker>
          <cat>
            <strRef>
              <f>'Zeitverlauf'!$A$4:$A$23</f>
            </strRef>
          </cat>
          <val>
            <numRef>
              <f>'Zeitverlauf'!$I$4:$I$23</f>
            </numRef>
          </val>
        </ser>
        <axId val="10"/>
        <axId val="100"/>
      </lineChart>
      <catAx>
        <axId val="10"/>
        <scaling>
          <orientation val="minMax"/>
        </scaling>
        <delete val="0"/>
        <axPos val="b"/>
        <title>
          <tx>
            <rich>
              <a:bodyPr/>
              <a:p>
                <a:pPr>
                  <a:defRPr/>
                </a:pPr>
                <a:r>
                  <a:t>Quartal</a:t>
                </a:r>
              </a:p>
            </rich>
          </tx>
        </title>
        <majorTickMark val="out"/>
        <minorTickMark val="none"/>
        <tickLblPos val="nextTo"/>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Drucksachen</a:t>
                </a:r>
              </a:p>
            </rich>
          </tx>
        </title>
        <majorTickMark val="none"/>
        <minorTickMark val="none"/>
        <tickLblPos val="nextTo"/>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2"/>
  <chart>
    <title>
      <tx>
        <rich>
          <a:bodyPr/>
          <a:p>
            <a:pPr>
              <a:defRPr/>
            </a:pPr>
            <a:r>
              <a:t>Themen insgesamt und Anteil der Opposition</a:t>
            </a:r>
          </a:p>
        </rich>
      </tx>
    </title>
    <plotArea>
      <barChart>
        <barDir val="bar"/>
        <grouping val="clustered"/>
        <ser>
          <idx val="0"/>
          <order val="0"/>
          <tx>
            <strRef>
              <f>'Themen'!H4</f>
            </strRef>
          </tx>
          <spPr>
            <a:ln>
              <a:prstDash val="solid"/>
            </a:ln>
          </spPr>
          <cat>
            <strRef>
              <f>'Themen'!$A$5:$A$18</f>
            </strRef>
          </cat>
          <val>
            <numRef>
              <f>'Themen'!$H$5:$H$18</f>
            </numRef>
          </val>
        </ser>
        <ser>
          <idx val="1"/>
          <order val="1"/>
          <tx>
            <strRef>
              <f>'Themen'!I4</f>
            </strRef>
          </tx>
          <spPr>
            <a:ln>
              <a:prstDash val="solid"/>
            </a:ln>
          </spPr>
          <cat>
            <strRef>
              <f>'Themen'!$A$5:$A$18</f>
            </strRef>
          </cat>
          <val>
            <numRef>
              <f>'Themen'!$I$5:$I$18</f>
            </numRef>
          </val>
        </ser>
        <gapWidth val="150"/>
        <axId val="10"/>
        <axId val="100"/>
      </barChart>
      <catAx>
        <axId val="10"/>
        <scaling>
          <orientation val="minMax"/>
        </scaling>
        <delete val="0"/>
        <axPos val="l"/>
        <majorTickMark val="out"/>
        <minorTickMark val="none"/>
        <tickLblPos val="nextTo"/>
        <crossAx val="100"/>
        <lblOffset val="100"/>
      </catAx>
      <valAx>
        <axId val="100"/>
        <scaling>
          <orientation val="minMax"/>
        </scaling>
        <delete val="0"/>
        <axPos val="b"/>
        <majorGridlines/>
        <title>
          <tx>
            <rich>
              <a:bodyPr/>
              <a:p>
                <a:pPr>
                  <a:defRPr/>
                </a:pPr>
                <a:r>
                  <a:t>Nennungen</a:t>
                </a:r>
              </a:p>
            </rich>
          </tx>
        </title>
        <majorTickMark val="none"/>
        <minorTickMark val="none"/>
        <tickLblPos val="nextTo"/>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style val="2"/>
  <chart>
    <title>
      <tx>
        <rich>
          <a:bodyPr/>
          <a:p>
            <a:pPr>
              <a:defRPr/>
            </a:pPr>
            <a:r>
              <a:t>Themen je Fraktion, nur eigene Initiativen</a:t>
            </a:r>
          </a:p>
        </rich>
      </tx>
    </title>
    <plotArea>
      <barChart>
        <barDir val="bar"/>
        <grouping val="stacked"/>
        <ser>
          <idx val="0"/>
          <order val="0"/>
          <tx>
            <strRef>
              <f>'Themen'!B24</f>
            </strRef>
          </tx>
          <spPr>
            <a:solidFill>
              <a:srgbClr val="1A1A1A"/>
            </a:solidFill>
            <a:ln>
              <a:prstDash val="solid"/>
            </a:ln>
          </spPr>
          <cat>
            <strRef>
              <f>'Themen'!$A$25:$A$38</f>
            </strRef>
          </cat>
          <val>
            <numRef>
              <f>'Themen'!$B$25:$B$38</f>
            </numRef>
          </val>
        </ser>
        <ser>
          <idx val="1"/>
          <order val="1"/>
          <tx>
            <strRef>
              <f>'Themen'!C24</f>
            </strRef>
          </tx>
          <spPr>
            <a:solidFill>
              <a:srgbClr val="1AA037"/>
            </a:solidFill>
            <a:ln>
              <a:prstDash val="solid"/>
            </a:ln>
          </spPr>
          <cat>
            <strRef>
              <f>'Themen'!$A$25:$A$38</f>
            </strRef>
          </cat>
          <val>
            <numRef>
              <f>'Themen'!$C$25:$C$38</f>
            </numRef>
          </val>
        </ser>
        <ser>
          <idx val="2"/>
          <order val="2"/>
          <tx>
            <strRef>
              <f>'Themen'!D24</f>
            </strRef>
          </tx>
          <spPr>
            <a:solidFill>
              <a:srgbClr val="009EE0"/>
            </a:solidFill>
            <a:ln>
              <a:prstDash val="solid"/>
            </a:ln>
          </spPr>
          <cat>
            <strRef>
              <f>'Themen'!$A$25:$A$38</f>
            </strRef>
          </cat>
          <val>
            <numRef>
              <f>'Themen'!$D$25:$D$38</f>
            </numRef>
          </val>
        </ser>
        <ser>
          <idx val="3"/>
          <order val="3"/>
          <tx>
            <strRef>
              <f>'Themen'!E24</f>
            </strRef>
          </tx>
          <spPr>
            <a:solidFill>
              <a:srgbClr val="BE3075"/>
            </a:solidFill>
            <a:ln>
              <a:prstDash val="solid"/>
            </a:ln>
          </spPr>
          <cat>
            <strRef>
              <f>'Themen'!$A$25:$A$38</f>
            </strRef>
          </cat>
          <val>
            <numRef>
              <f>'Themen'!$E$25:$E$38</f>
            </numRef>
          </val>
        </ser>
        <ser>
          <idx val="4"/>
          <order val="4"/>
          <tx>
            <strRef>
              <f>'Themen'!F24</f>
            </strRef>
          </tx>
          <spPr>
            <a:solidFill>
              <a:srgbClr val="9E9E9E"/>
            </a:solidFill>
            <a:ln>
              <a:prstDash val="solid"/>
            </a:ln>
          </spPr>
          <cat>
            <strRef>
              <f>'Themen'!$A$25:$A$38</f>
            </strRef>
          </cat>
          <val>
            <numRef>
              <f>'Themen'!$F$25:$F$38</f>
            </numRef>
          </val>
        </ser>
        <gapWidth val="150"/>
        <overlap val="100"/>
        <axId val="10"/>
        <axId val="100"/>
      </barChart>
      <catAx>
        <axId val="10"/>
        <scaling>
          <orientation val="minMax"/>
        </scaling>
        <delete val="0"/>
        <axPos val="l"/>
        <majorTickMark val="out"/>
        <minorTickMark val="none"/>
        <tickLblPos val="nextTo"/>
        <crossAx val="100"/>
        <lblOffset val="100"/>
      </catAx>
      <valAx>
        <axId val="100"/>
        <scaling>
          <orientation val="minMax"/>
        </scaling>
        <delete val="0"/>
        <axPos val="b"/>
        <majorGridlines/>
        <title>
          <tx>
            <rich>
              <a:bodyPr/>
              <a:p>
                <a:pPr>
                  <a:defRPr/>
                </a:pPr>
                <a:r>
                  <a:t>Eigene Initiativen</a:t>
                </a:r>
              </a:p>
            </rich>
          </tx>
        </title>
        <majorTickMark val="none"/>
        <minorTickMark val="none"/>
        <tickLblPos val="nextTo"/>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style val="2"/>
  <chart>
    <title>
      <tx>
        <rich>
          <a:bodyPr/>
          <a:p>
            <a:pPr>
              <a:defRPr/>
            </a:pPr>
            <a:r>
              <a:t>Bearbeitungsdauer Kleiner Anfragen je Fraktion</a:t>
            </a:r>
          </a:p>
        </rich>
      </tx>
    </title>
    <plotArea>
      <barChart>
        <barDir val="col"/>
        <grouping val="clustered"/>
        <ser>
          <idx val="0"/>
          <order val="0"/>
          <tx>
            <strRef>
              <f>'Antwortzeiten'!C4</f>
            </strRef>
          </tx>
          <spPr>
            <a:ln>
              <a:prstDash val="solid"/>
            </a:ln>
          </spPr>
          <cat>
            <strRef>
              <f>'Antwortzeiten'!$A$5:$A$9</f>
            </strRef>
          </cat>
          <val>
            <numRef>
              <f>'Antwortzeiten'!$C$5:$C$9</f>
            </numRef>
          </val>
        </ser>
        <ser>
          <idx val="1"/>
          <order val="1"/>
          <tx>
            <strRef>
              <f>'Antwortzeiten'!D4</f>
            </strRef>
          </tx>
          <spPr>
            <a:ln>
              <a:prstDash val="solid"/>
            </a:ln>
          </spPr>
          <cat>
            <strRef>
              <f>'Antwortzeiten'!$A$5:$A$9</f>
            </strRef>
          </cat>
          <val>
            <numRef>
              <f>'Antwortzeiten'!$D$5:$D$9</f>
            </numRef>
          </val>
        </ser>
        <ser>
          <idx val="2"/>
          <order val="2"/>
          <tx>
            <strRef>
              <f>'Antwortzeiten'!E4</f>
            </strRef>
          </tx>
          <spPr>
            <a:ln>
              <a:prstDash val="solid"/>
            </a:ln>
          </spPr>
          <cat>
            <strRef>
              <f>'Antwortzeiten'!$A$5:$A$9</f>
            </strRef>
          </cat>
          <val>
            <numRef>
              <f>'Antwortzeiten'!$E$5:$E$9</f>
            </numRef>
          </val>
        </ser>
        <gapWidth val="150"/>
        <axId val="10"/>
        <axId val="100"/>
      </barChart>
      <catAx>
        <axId val="10"/>
        <scaling>
          <orientation val="minMax"/>
        </scaling>
        <delete val="0"/>
        <axPos val="b"/>
        <title>
          <tx>
            <rich>
              <a:bodyPr/>
              <a:p>
                <a:pPr>
                  <a:defRPr/>
                </a:pPr>
                <a:r>
                  <a:t>Fragende Fraktion</a:t>
                </a:r>
              </a:p>
            </rich>
          </tx>
        </title>
        <majorTickMark val="out"/>
        <minorTickMark val="none"/>
        <tickLblPos val="nextTo"/>
        <crossAx val="100"/>
        <lblOffset val="100"/>
      </catAx>
      <valAx>
        <axId val="100"/>
        <scaling>
          <orientation val="minMax"/>
        </scaling>
        <delete val="0"/>
        <axPos val="l"/>
        <majorGridlines/>
        <title>
          <tx>
            <rich>
              <a:bodyPr/>
              <a:p>
                <a:pPr>
                  <a:defRPr/>
                </a:pPr>
                <a:r>
                  <a:t>Tage</a:t>
                </a:r>
              </a:p>
            </rich>
          </tx>
        </title>
        <majorTickMark val="none"/>
        <minorTickMark val="none"/>
        <tickLblPos val="nextTo"/>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style val="2"/>
  <chart>
    <title>
      <tx>
        <rich>
          <a:bodyPr/>
          <a:p>
            <a:pPr>
              <a:defRPr/>
            </a:pPr>
            <a:r>
              <a:t>Abstimmungsverhalten je Fraktion</a:t>
            </a:r>
          </a:p>
        </rich>
      </tx>
    </title>
    <plotArea>
      <barChart>
        <barDir val="bar"/>
        <grouping val="stacked"/>
        <ser>
          <idx val="0"/>
          <order val="0"/>
          <tx>
            <strRef>
              <f>'Abstimmungen'!B51</f>
            </strRef>
          </tx>
          <spPr>
            <a:solidFill>
              <a:srgbClr val="4CAF50"/>
            </a:solidFill>
            <a:ln>
              <a:prstDash val="solid"/>
            </a:ln>
          </spPr>
          <cat>
            <strRef>
              <f>'Abstimmungen'!$A$52:$A$57</f>
            </strRef>
          </cat>
          <val>
            <numRef>
              <f>'Abstimmungen'!$B$52:$B$57</f>
            </numRef>
          </val>
        </ser>
        <ser>
          <idx val="1"/>
          <order val="1"/>
          <tx>
            <strRef>
              <f>'Abstimmungen'!C51</f>
            </strRef>
          </tx>
          <spPr>
            <a:solidFill>
              <a:srgbClr val="D32F2F"/>
            </a:solidFill>
            <a:ln>
              <a:prstDash val="solid"/>
            </a:ln>
          </spPr>
          <cat>
            <strRef>
              <f>'Abstimmungen'!$A$52:$A$57</f>
            </strRef>
          </cat>
          <val>
            <numRef>
              <f>'Abstimmungen'!$C$52:$C$57</f>
            </numRef>
          </val>
        </ser>
        <ser>
          <idx val="2"/>
          <order val="2"/>
          <tx>
            <strRef>
              <f>'Abstimmungen'!D51</f>
            </strRef>
          </tx>
          <spPr>
            <a:solidFill>
              <a:srgbClr val="FBC02D"/>
            </a:solidFill>
            <a:ln>
              <a:prstDash val="solid"/>
            </a:ln>
          </spPr>
          <cat>
            <strRef>
              <f>'Abstimmungen'!$A$52:$A$57</f>
            </strRef>
          </cat>
          <val>
            <numRef>
              <f>'Abstimmungen'!$D$52:$D$57</f>
            </numRef>
          </val>
        </ser>
        <gapWidth val="150"/>
        <overlap val="100"/>
        <axId val="10"/>
        <axId val="100"/>
      </barChart>
      <catAx>
        <axId val="10"/>
        <scaling>
          <orientation val="minMax"/>
        </scaling>
        <delete val="0"/>
        <axPos val="l"/>
        <majorTickMark val="out"/>
        <minorTickMark val="none"/>
        <tickLblPos val="nextTo"/>
        <crossAx val="100"/>
        <lblOffset val="100"/>
      </catAx>
      <valAx>
        <axId val="100"/>
        <scaling>
          <orientation val="minMax"/>
        </scaling>
        <delete val="0"/>
        <axPos val="b"/>
        <majorGridlines/>
        <title>
          <tx>
            <rich>
              <a:bodyPr/>
              <a:p>
                <a:pPr>
                  <a:defRPr/>
                </a:pPr>
                <a:r>
                  <a:t>Abstimmungen</a:t>
                </a:r>
              </a:p>
            </rich>
          </tx>
        </title>
        <majorTickMark val="none"/>
        <minorTickMark val="none"/>
        <tickLblPos val="nextTo"/>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style val="2"/>
  <chart>
    <title>
      <tx>
        <rich>
          <a:bodyPr/>
          <a:p>
            <a:pPr>
              <a:defRPr/>
            </a:pPr>
            <a:r>
              <a:t>Fraktionsprofil im Vergleich (100 = Spitzenwert)</a:t>
            </a:r>
          </a:p>
        </rich>
      </tx>
    </title>
    <plotArea>
      <radarChart>
        <radarStyle val="marker"/>
        <ser>
          <idx val="0"/>
          <order val="0"/>
          <tx>
            <strRef>
              <f>'Profil'!B12</f>
            </strRef>
          </tx>
          <spPr>
            <a:ln w="22000">
              <a:solidFill>
                <a:srgbClr val="1A1A1A"/>
              </a:solidFill>
              <a:prstDash val="solid"/>
            </a:ln>
          </spPr>
          <marker>
            <symbol val="none"/>
            <spPr>
              <a:ln>
                <a:prstDash val="solid"/>
              </a:ln>
            </spPr>
          </marker>
          <cat>
            <strRef>
              <f>'Profil'!$A$13:$A$16</f>
            </strRef>
          </cat>
          <val>
            <numRef>
              <f>'Profil'!$B$13:$B$16</f>
            </numRef>
          </val>
        </ser>
        <ser>
          <idx val="1"/>
          <order val="1"/>
          <tx>
            <strRef>
              <f>'Profil'!C12</f>
            </strRef>
          </tx>
          <spPr>
            <a:ln w="22000">
              <a:solidFill>
                <a:srgbClr val="1AA037"/>
              </a:solidFill>
              <a:prstDash val="solid"/>
            </a:ln>
          </spPr>
          <marker>
            <symbol val="none"/>
            <spPr>
              <a:ln>
                <a:prstDash val="solid"/>
              </a:ln>
            </spPr>
          </marker>
          <cat>
            <strRef>
              <f>'Profil'!$A$13:$A$16</f>
            </strRef>
          </cat>
          <val>
            <numRef>
              <f>'Profil'!$C$13:$C$16</f>
            </numRef>
          </val>
        </ser>
        <ser>
          <idx val="2"/>
          <order val="2"/>
          <tx>
            <strRef>
              <f>'Profil'!D12</f>
            </strRef>
          </tx>
          <spPr>
            <a:ln w="22000">
              <a:solidFill>
                <a:srgbClr val="009EE0"/>
              </a:solidFill>
              <a:prstDash val="solid"/>
            </a:ln>
          </spPr>
          <marker>
            <symbol val="none"/>
            <spPr>
              <a:ln>
                <a:prstDash val="solid"/>
              </a:ln>
            </spPr>
          </marker>
          <cat>
            <strRef>
              <f>'Profil'!$A$13:$A$16</f>
            </strRef>
          </cat>
          <val>
            <numRef>
              <f>'Profil'!$D$13:$D$16</f>
            </numRef>
          </val>
        </ser>
        <ser>
          <idx val="3"/>
          <order val="3"/>
          <tx>
            <strRef>
              <f>'Profil'!E12</f>
            </strRef>
          </tx>
          <spPr>
            <a:ln w="22000">
              <a:solidFill>
                <a:srgbClr val="BE3075"/>
              </a:solidFill>
              <a:prstDash val="solid"/>
            </a:ln>
          </spPr>
          <marker>
            <symbol val="none"/>
            <spPr>
              <a:ln>
                <a:prstDash val="solid"/>
              </a:ln>
            </spPr>
          </marker>
          <cat>
            <strRef>
              <f>'Profil'!$A$13:$A$16</f>
            </strRef>
          </cat>
          <val>
            <numRef>
              <f>'Profil'!$E$13:$E$16</f>
            </numRef>
          </val>
        </ser>
        <axId val="10"/>
        <axId val="100"/>
      </radar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none"/>
        <minorTickMark val="none"/>
        <tickLblPos val="nextTo"/>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style val="2"/>
  <chart>
    <title>
      <tx>
        <rich>
          <a:bodyPr/>
          <a:p>
            <a:pPr>
              <a:defRPr/>
            </a:pPr>
            <a:r>
              <a:t>Score bei den aktuell gesetzten Gewichten</a:t>
            </a:r>
          </a:p>
        </rich>
      </tx>
    </title>
    <plotArea>
      <barChart>
        <barDir val="col"/>
        <grouping val="clustered"/>
        <ser>
          <idx val="0"/>
          <order val="0"/>
          <tx>
            <strRef>
              <f>'Bewertung'!B28</f>
            </strRef>
          </tx>
          <spPr>
            <a:ln>
              <a:prstDash val="solid"/>
            </a:ln>
          </spPr>
          <dPt>
            <idx val="0"/>
            <spPr>
              <a:solidFill>
                <a:srgbClr val="1A1A1A"/>
              </a:solidFill>
              <a:ln>
                <a:prstDash val="solid"/>
              </a:ln>
            </spPr>
          </dPt>
          <dPt>
            <idx val="1"/>
            <spPr>
              <a:solidFill>
                <a:srgbClr val="1AA037"/>
              </a:solidFill>
              <a:ln>
                <a:prstDash val="solid"/>
              </a:ln>
            </spPr>
          </dPt>
          <dPt>
            <idx val="2"/>
            <spPr>
              <a:solidFill>
                <a:srgbClr val="009EE0"/>
              </a:solidFill>
              <a:ln>
                <a:prstDash val="solid"/>
              </a:ln>
            </spPr>
          </dPt>
          <dPt>
            <idx val="3"/>
            <spPr>
              <a:solidFill>
                <a:srgbClr val="BE3075"/>
              </a:solidFill>
              <a:ln>
                <a:prstDash val="solid"/>
              </a:ln>
            </spPr>
          </dPt>
          <cat>
            <strRef>
              <f>'Bewertung'!$A$29:$A$32</f>
            </strRef>
          </cat>
          <val>
            <numRef>
              <f>'Bewertung'!$B$29:$B$32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a:p>
                <a:pPr>
                  <a:defRPr/>
                </a:pPr>
                <a:r>
                  <a:t>Score</a:t>
                </a:r>
              </a:p>
            </rich>
          </tx>
        </title>
        <majorTickMark val="none"/>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5.xml.rels><Relationships xmlns="http://schemas.openxmlformats.org/package/2006/relationships"><Relationship Type="http://schemas.openxmlformats.org/officeDocument/2006/relationships/chart" Target="/xl/charts/chart9.xml" Id="rId1" /></Relationships>
</file>

<file path=xl/drawings/_rels/drawing6.xml.rels><Relationships xmlns="http://schemas.openxmlformats.org/package/2006/relationships"><Relationship Type="http://schemas.openxmlformats.org/officeDocument/2006/relationships/chart" Target="/xl/charts/chart10.xml" Id="rId1" /></Relationships>
</file>

<file path=xl/drawings/_rels/drawing7.xml.rels><Relationships xmlns="http://schemas.openxmlformats.org/package/2006/relationships"><Relationship Type="http://schemas.openxmlformats.org/officeDocument/2006/relationships/chart" Target="/xl/charts/chart11.xml" Id="rId1" /></Relationships>
</file>

<file path=xl/drawings/_rels/drawing8.xml.rels><Relationships xmlns="http://schemas.openxmlformats.org/package/2006/relationships"><Relationship Type="http://schemas.openxmlformats.org/officeDocument/2006/relationships/chart" Target="/xl/charts/chart1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4680000" cy="30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45</row>
      <rowOff>0</rowOff>
    </from>
    <ext cx="4680000" cy="30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33</row>
      <rowOff>0</rowOff>
    </from>
    <ext cx="540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9360000" cy="34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45</row>
      <rowOff>0</rowOff>
    </from>
    <ext cx="936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720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64</row>
      <rowOff>0</rowOff>
    </from>
    <ext cx="792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59</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36</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dserver.bundestag.de/btd/21/082/2108263.pdf" TargetMode="External" Id="rId1" /><Relationship Type="http://schemas.openxmlformats.org/officeDocument/2006/relationships/hyperlink" Target="https://dserver.bundestag.de/btd/21/082/2108225.pdf" TargetMode="External" Id="rId2" /><Relationship Type="http://schemas.openxmlformats.org/officeDocument/2006/relationships/hyperlink" Target="https://dserver.bundestag.de/btd/21/079/2107988.pdf" TargetMode="External" Id="rId3" /><Relationship Type="http://schemas.openxmlformats.org/officeDocument/2006/relationships/hyperlink" Target="https://dserver.bundestag.de/btd/21/080/2108000.pdf" TargetMode="External" Id="rId4" /><Relationship Type="http://schemas.openxmlformats.org/officeDocument/2006/relationships/hyperlink" Target="https://dserver.bundestag.de/btd/21/078/2107838.pdf" TargetMode="External" Id="rId5" /><Relationship Type="http://schemas.openxmlformats.org/officeDocument/2006/relationships/hyperlink" Target="https://dserver.bundestag.de/btd/21/077/2107755.pdf" TargetMode="External" Id="rId6" /><Relationship Type="http://schemas.openxmlformats.org/officeDocument/2006/relationships/hyperlink" Target="https://dserver.bundestag.de/btd/21/077/2107722.pdf" TargetMode="External" Id="rId7" /><Relationship Type="http://schemas.openxmlformats.org/officeDocument/2006/relationships/hyperlink" Target="https://dserver.bundestag.de/btd/21/076/2107607.pdf" TargetMode="External" Id="rId8" /><Relationship Type="http://schemas.openxmlformats.org/officeDocument/2006/relationships/hyperlink" Target="https://dserver.bundestag.de/btd/21/074/2107483.pdf" TargetMode="External" Id="rId9" /><Relationship Type="http://schemas.openxmlformats.org/officeDocument/2006/relationships/hyperlink" Target="https://dserver.bundestag.de/btd/21/074/2107468.pdf" TargetMode="External" Id="rId10" /><Relationship Type="http://schemas.openxmlformats.org/officeDocument/2006/relationships/hyperlink" Target="https://dserver.bundestag.de/btd/21/072/2107277.pdf" TargetMode="External" Id="rId11" /><Relationship Type="http://schemas.openxmlformats.org/officeDocument/2006/relationships/hyperlink" Target="https://dserver.bundestag.de/btd/21/069/2106922.pdf" TargetMode="External" Id="rId12" /><Relationship Type="http://schemas.openxmlformats.org/officeDocument/2006/relationships/hyperlink" Target="https://dserver.bundestag.de/btd/21/068/2106880.pdf" TargetMode="External" Id="rId13" /><Relationship Type="http://schemas.openxmlformats.org/officeDocument/2006/relationships/hyperlink" Target="https://dserver.bundestag.de/btd/21/068/2106812.pdf" TargetMode="External" Id="rId14" /><Relationship Type="http://schemas.openxmlformats.org/officeDocument/2006/relationships/hyperlink" Target="https://dserver.bundestag.de/btd/21/067/2106701.pdf" TargetMode="External" Id="rId15" /><Relationship Type="http://schemas.openxmlformats.org/officeDocument/2006/relationships/hyperlink" Target="https://dserver.bundestag.de/btd/21/066/2106626.pdf" TargetMode="External" Id="rId16" /><Relationship Type="http://schemas.openxmlformats.org/officeDocument/2006/relationships/hyperlink" Target="https://dserver.bundestag.de/btd/21/066/2106601.pdf" TargetMode="External" Id="rId17" /><Relationship Type="http://schemas.openxmlformats.org/officeDocument/2006/relationships/hyperlink" Target="https://dserver.bundestag.de/btd/21/065/2106517.pdf" TargetMode="External" Id="rId18" /><Relationship Type="http://schemas.openxmlformats.org/officeDocument/2006/relationships/hyperlink" Target="https://dserver.bundestag.de/btd/21/063/2106331.pdf" TargetMode="External" Id="rId19" /><Relationship Type="http://schemas.openxmlformats.org/officeDocument/2006/relationships/hyperlink" Target="https://dserver.bundestag.de/btd/21/062/2106208.pdf" TargetMode="External" Id="rId20" /><Relationship Type="http://schemas.openxmlformats.org/officeDocument/2006/relationships/hyperlink" Target="https://dserver.bundestag.de/btd/21/061/2106188.pdf" TargetMode="External" Id="rId21" /><Relationship Type="http://schemas.openxmlformats.org/officeDocument/2006/relationships/hyperlink" Target="https://dserver.bundestag.de/btd/21/061/2106187.pdf" TargetMode="External" Id="rId22" /><Relationship Type="http://schemas.openxmlformats.org/officeDocument/2006/relationships/hyperlink" Target="https://dserver.bundestag.de/btd/21/061/2106186.pdf" TargetMode="External" Id="rId23" /><Relationship Type="http://schemas.openxmlformats.org/officeDocument/2006/relationships/hyperlink" Target="https://dserver.bundestag.de/btd/21/061/2106185.pdf" TargetMode="External" Id="rId24" /><Relationship Type="http://schemas.openxmlformats.org/officeDocument/2006/relationships/hyperlink" Target="https://dserver.bundestag.de/btd/21/061/2106184.pdf" TargetMode="External" Id="rId25" /><Relationship Type="http://schemas.openxmlformats.org/officeDocument/2006/relationships/hyperlink" Target="https://dserver.bundestag.de/btd/21/061/2106157.pdf" TargetMode="External" Id="rId26" /><Relationship Type="http://schemas.openxmlformats.org/officeDocument/2006/relationships/hyperlink" Target="https://dserver.bundestag.de/btd/21/061/2106156.pdf" TargetMode="External" Id="rId27" /><Relationship Type="http://schemas.openxmlformats.org/officeDocument/2006/relationships/hyperlink" Target="https://dserver.bundestag.de/btd/21/060/2106096.pdf" TargetMode="External" Id="rId28" /><Relationship Type="http://schemas.openxmlformats.org/officeDocument/2006/relationships/hyperlink" Target="https://dserver.bundestag.de/btd/21/059/2105949.pdf" TargetMode="External" Id="rId29" /><Relationship Type="http://schemas.openxmlformats.org/officeDocument/2006/relationships/hyperlink" Target="https://dserver.bundestag.de/btd/21/059/2105947.pdf" TargetMode="External" Id="rId30" /><Relationship Type="http://schemas.openxmlformats.org/officeDocument/2006/relationships/hyperlink" Target="https://dserver.bundestag.de/btd/21/059/2105945.pdf" TargetMode="External" Id="rId31" /><Relationship Type="http://schemas.openxmlformats.org/officeDocument/2006/relationships/hyperlink" Target="https://dserver.bundestag.de/btd/21/059/2105943.pdf" TargetMode="External" Id="rId32" /><Relationship Type="http://schemas.openxmlformats.org/officeDocument/2006/relationships/hyperlink" Target="https://dserver.bundestag.de/btd/21/059/2105941.pdf" TargetMode="External" Id="rId33" /><Relationship Type="http://schemas.openxmlformats.org/officeDocument/2006/relationships/hyperlink" Target="https://dserver.bundestag.de/btd/21/059/2105940.pdf" TargetMode="External" Id="rId34" /><Relationship Type="http://schemas.openxmlformats.org/officeDocument/2006/relationships/hyperlink" Target="https://dserver.bundestag.de/btd/21/059/2105938.pdf" TargetMode="External" Id="rId35" /><Relationship Type="http://schemas.openxmlformats.org/officeDocument/2006/relationships/hyperlink" Target="https://dserver.bundestag.de/btd/21/057/2105732.pdf" TargetMode="External" Id="rId36" /><Relationship Type="http://schemas.openxmlformats.org/officeDocument/2006/relationships/hyperlink" Target="https://dserver.bundestag.de/btd/21/057/2105700.pdf" TargetMode="External" Id="rId37" /><Relationship Type="http://schemas.openxmlformats.org/officeDocument/2006/relationships/hyperlink" Target="https://dserver.bundestag.de/btd/21/056/2105663.pdf" TargetMode="External" Id="rId38" /><Relationship Type="http://schemas.openxmlformats.org/officeDocument/2006/relationships/hyperlink" Target="https://dserver.bundestag.de/btd/21/056/2105610.pdf" TargetMode="External" Id="rId39" /><Relationship Type="http://schemas.openxmlformats.org/officeDocument/2006/relationships/hyperlink" Target="https://dserver.bundestag.de/btd/21/053/2105307.pdf" TargetMode="External" Id="rId40" /><Relationship Type="http://schemas.openxmlformats.org/officeDocument/2006/relationships/hyperlink" Target="https://dserver.bundestag.de/btd/21/046/2104635.pdf" TargetMode="External" Id="rId41" /><Relationship Type="http://schemas.openxmlformats.org/officeDocument/2006/relationships/hyperlink" Target="https://dserver.bundestag.de/btd/21/045/2104586.pdf" TargetMode="External" Id="rId42" /><Relationship Type="http://schemas.openxmlformats.org/officeDocument/2006/relationships/hyperlink" Target="https://dserver.bundestag.de/btd/21/045/2104552.pdf" TargetMode="External" Id="rId43" /><Relationship Type="http://schemas.openxmlformats.org/officeDocument/2006/relationships/hyperlink" Target="https://dserver.bundestag.de/btd/21/045/2104578.pdf" TargetMode="External" Id="rId44" /><Relationship Type="http://schemas.openxmlformats.org/officeDocument/2006/relationships/hyperlink" Target="https://dserver.bundestag.de/btd/21/045/2104567.pdf" TargetMode="External" Id="rId45" /><Relationship Type="http://schemas.openxmlformats.org/officeDocument/2006/relationships/hyperlink" Target="https://dserver.bundestag.de/btd/21/044/2104458.pdf" TargetMode="External" Id="rId46" /><Relationship Type="http://schemas.openxmlformats.org/officeDocument/2006/relationships/hyperlink" Target="https://dserver.bundestag.de/btd/21/045/2104501.pdf" TargetMode="External" Id="rId47" /><Relationship Type="http://schemas.openxmlformats.org/officeDocument/2006/relationships/hyperlink" Target="https://dserver.bundestag.de/btd/21/044/2104498.pdf" TargetMode="External" Id="rId48" /><Relationship Type="http://schemas.openxmlformats.org/officeDocument/2006/relationships/hyperlink" Target="https://dserver.bundestag.de/btd/21/043/2104380.pdf" TargetMode="External" Id="rId49" /><Relationship Type="http://schemas.openxmlformats.org/officeDocument/2006/relationships/hyperlink" Target="https://dserver.bundestag.de/btd/21/043/2104378.pdf" TargetMode="External" Id="rId50" /><Relationship Type="http://schemas.openxmlformats.org/officeDocument/2006/relationships/hyperlink" Target="https://dserver.bundestag.de/btd/21/042/2104233.pdf" TargetMode="External" Id="rId51" /><Relationship Type="http://schemas.openxmlformats.org/officeDocument/2006/relationships/hyperlink" Target="https://dserver.bundestag.de/btd/21/041/2104141.pdf" TargetMode="External" Id="rId52" /><Relationship Type="http://schemas.openxmlformats.org/officeDocument/2006/relationships/hyperlink" Target="https://dserver.bundestag.de/btd/21/041/2104102.pdf" TargetMode="External" Id="rId53" /><Relationship Type="http://schemas.openxmlformats.org/officeDocument/2006/relationships/hyperlink" Target="https://dserver.bundestag.de/btd/21/040/2104041.pdf" TargetMode="External" Id="rId54" /><Relationship Type="http://schemas.openxmlformats.org/officeDocument/2006/relationships/hyperlink" Target="https://dserver.bundestag.de/btd/21/040/2104055.pdf" TargetMode="External" Id="rId55" /><Relationship Type="http://schemas.openxmlformats.org/officeDocument/2006/relationships/hyperlink" Target="https://dserver.bundestag.de/btd/21/040/2104034.pdf" TargetMode="External" Id="rId56" /><Relationship Type="http://schemas.openxmlformats.org/officeDocument/2006/relationships/hyperlink" Target="https://dserver.bundestag.de/btd/21/039/2103998.pdf" TargetMode="External" Id="rId57" /><Relationship Type="http://schemas.openxmlformats.org/officeDocument/2006/relationships/hyperlink" Target="https://dserver.bundestag.de/btd/21/039/2103966.pdf" TargetMode="External" Id="rId58" /><Relationship Type="http://schemas.openxmlformats.org/officeDocument/2006/relationships/hyperlink" Target="https://dserver.bundestag.de/btd/21/039/2103935.pdf" TargetMode="External" Id="rId59" /><Relationship Type="http://schemas.openxmlformats.org/officeDocument/2006/relationships/hyperlink" Target="https://dserver.bundestag.de/btd/21/039/2103934.pdf" TargetMode="External" Id="rId60" /><Relationship Type="http://schemas.openxmlformats.org/officeDocument/2006/relationships/hyperlink" Target="https://dserver.bundestag.de/btd/21/038/2103851.pdf" TargetMode="External" Id="rId61" /><Relationship Type="http://schemas.openxmlformats.org/officeDocument/2006/relationships/hyperlink" Target="https://dserver.bundestag.de/btd/21/037/2103744.pdf" TargetMode="External" Id="rId62" /><Relationship Type="http://schemas.openxmlformats.org/officeDocument/2006/relationships/hyperlink" Target="https://dserver.bundestag.de/btd/21/035/2103595.pdf" TargetMode="External" Id="rId63" /><Relationship Type="http://schemas.openxmlformats.org/officeDocument/2006/relationships/hyperlink" Target="https://dserver.bundestag.de/btd/21/035/2103563.pdf" TargetMode="External" Id="rId64" /><Relationship Type="http://schemas.openxmlformats.org/officeDocument/2006/relationships/hyperlink" Target="https://dserver.bundestag.de/btd/21/035/2103533.pdf" TargetMode="External" Id="rId65" /><Relationship Type="http://schemas.openxmlformats.org/officeDocument/2006/relationships/hyperlink" Target="https://dserver.bundestag.de/btd/21/034/2103468.pdf" TargetMode="External" Id="rId66" /><Relationship Type="http://schemas.openxmlformats.org/officeDocument/2006/relationships/hyperlink" Target="https://dserver.bundestag.de/btd/21/032/2103238.pdf" TargetMode="External" Id="rId67" /><Relationship Type="http://schemas.openxmlformats.org/officeDocument/2006/relationships/hyperlink" Target="https://dserver.bundestag.de/btd/21/032/2103243.pdf" TargetMode="External" Id="rId68" /><Relationship Type="http://schemas.openxmlformats.org/officeDocument/2006/relationships/hyperlink" Target="https://dserver.bundestag.de/btd/21/031/2103163.pdf" TargetMode="External" Id="rId69" /><Relationship Type="http://schemas.openxmlformats.org/officeDocument/2006/relationships/hyperlink" Target="https://dserver.bundestag.de/btd/21/030/2103018.pdf" TargetMode="External" Id="rId70" /><Relationship Type="http://schemas.openxmlformats.org/officeDocument/2006/relationships/hyperlink" Target="https://dserver.bundestag.de/btd/21/028/2102883.pdf" TargetMode="External" Id="rId71" /><Relationship Type="http://schemas.openxmlformats.org/officeDocument/2006/relationships/hyperlink" Target="https://dserver.bundestag.de/btd/21/028/2102870.pdf" TargetMode="External" Id="rId72" /><Relationship Type="http://schemas.openxmlformats.org/officeDocument/2006/relationships/hyperlink" Target="https://dserver.bundestag.de/btd/21/028/2102806.pdf" TargetMode="External" Id="rId73" /><Relationship Type="http://schemas.openxmlformats.org/officeDocument/2006/relationships/hyperlink" Target="https://dserver.bundestag.de/btd/21/027/2102736.pdf" TargetMode="External" Id="rId74" /><Relationship Type="http://schemas.openxmlformats.org/officeDocument/2006/relationships/hyperlink" Target="https://dserver.bundestag.de/btd/21/027/2102790.pdf" TargetMode="External" Id="rId75" /><Relationship Type="http://schemas.openxmlformats.org/officeDocument/2006/relationships/hyperlink" Target="https://dserver.bundestag.de/btd/21/027/2102787.pdf" TargetMode="External" Id="rId76" /><Relationship Type="http://schemas.openxmlformats.org/officeDocument/2006/relationships/hyperlink" Target="https://dserver.bundestag.de/btd/21/027/2102704.pdf" TargetMode="External" Id="rId77" /><Relationship Type="http://schemas.openxmlformats.org/officeDocument/2006/relationships/hyperlink" Target="https://dserver.bundestag.de/btd/21/026/2102644.pdf" TargetMode="External" Id="rId78" /><Relationship Type="http://schemas.openxmlformats.org/officeDocument/2006/relationships/hyperlink" Target="https://dserver.bundestag.de/btd/21/025/2102591.pdf" TargetMode="External" Id="rId79" /><Relationship Type="http://schemas.openxmlformats.org/officeDocument/2006/relationships/hyperlink" Target="https://dserver.bundestag.de/btd/21/026/2102628.pdf" TargetMode="External" Id="rId80" /><Relationship Type="http://schemas.openxmlformats.org/officeDocument/2006/relationships/hyperlink" Target="https://dserver.bundestag.de/btd/21/024/2102410.pdf" TargetMode="External" Id="rId81" /><Relationship Type="http://schemas.openxmlformats.org/officeDocument/2006/relationships/hyperlink" Target="https://dserver.bundestag.de/btd/21/022/2102295.pdf" TargetMode="External" Id="rId82" /><Relationship Type="http://schemas.openxmlformats.org/officeDocument/2006/relationships/hyperlink" Target="https://dserver.bundestag.de/btd/21/021/2102143.pdf" TargetMode="External" Id="rId83" /><Relationship Type="http://schemas.openxmlformats.org/officeDocument/2006/relationships/hyperlink" Target="https://dserver.bundestag.de/btd/21/021/2102108.pdf" TargetMode="External" Id="rId84" /><Relationship Type="http://schemas.openxmlformats.org/officeDocument/2006/relationships/hyperlink" Target="https://dserver.bundestag.de/btd/21/019/2101939.pdf" TargetMode="External" Id="rId85" /><Relationship Type="http://schemas.openxmlformats.org/officeDocument/2006/relationships/hyperlink" Target="https://dserver.bundestag.de/btd/21/017/2101754.pdf" TargetMode="External" Id="rId86" /><Relationship Type="http://schemas.openxmlformats.org/officeDocument/2006/relationships/hyperlink" Target="https://dserver.bundestag.de/btd/21/016/2101651.pdf" TargetMode="External" Id="rId87" /><Relationship Type="http://schemas.openxmlformats.org/officeDocument/2006/relationships/hyperlink" Target="https://dserver.bundestag.de/btd/21/016/2101678.pdf" TargetMode="External" Id="rId88" /><Relationship Type="http://schemas.openxmlformats.org/officeDocument/2006/relationships/hyperlink" Target="https://dserver.bundestag.de/btd/21/016/2101679.pdf" TargetMode="External" Id="rId89" /><Relationship Type="http://schemas.openxmlformats.org/officeDocument/2006/relationships/hyperlink" Target="https://dserver.bundestag.de/btd/21/015/2101581.pdf" TargetMode="External" Id="rId90" /><Relationship Type="http://schemas.openxmlformats.org/officeDocument/2006/relationships/hyperlink" Target="https://dserver.bundestag.de/btd/21/015/2101544.pdf" TargetMode="External" Id="rId91" /><Relationship Type="http://schemas.openxmlformats.org/officeDocument/2006/relationships/hyperlink" Target="https://dserver.bundestag.de/btd/21/015/2101543.pdf" TargetMode="External" Id="rId92" /><Relationship Type="http://schemas.openxmlformats.org/officeDocument/2006/relationships/hyperlink" Target="https://dserver.bundestag.de/btd/21/014/2101499.pdf" TargetMode="External" Id="rId93" /><Relationship Type="http://schemas.openxmlformats.org/officeDocument/2006/relationships/hyperlink" Target="https://dserver.bundestag.de/btd/21/015/2101512.pdf" TargetMode="External" Id="rId94" /><Relationship Type="http://schemas.openxmlformats.org/officeDocument/2006/relationships/hyperlink" Target="https://dserver.bundestag.de/btd/21/010/2101015.pdf" TargetMode="External" Id="rId95" /><Relationship Type="http://schemas.openxmlformats.org/officeDocument/2006/relationships/hyperlink" Target="https://dserver.bundestag.de/btd/21/013/2101342.pdf" TargetMode="External" Id="rId96" /><Relationship Type="http://schemas.openxmlformats.org/officeDocument/2006/relationships/hyperlink" Target="https://dserver.bundestag.de/btd/21/013/2101329.pdf" TargetMode="External" Id="rId97" /><Relationship Type="http://schemas.openxmlformats.org/officeDocument/2006/relationships/hyperlink" Target="https://dserver.bundestag.de/btd/21/010/2101066.pdf" TargetMode="External" Id="rId98" /><Relationship Type="http://schemas.openxmlformats.org/officeDocument/2006/relationships/hyperlink" Target="https://dserver.bundestag.de/btd/21/010/2101095.pdf" TargetMode="External" Id="rId99" /><Relationship Type="http://schemas.openxmlformats.org/officeDocument/2006/relationships/hyperlink" Target="https://dserver.bundestag.de/btd/21/010/2101057.pdf" TargetMode="External" Id="rId100" /><Relationship Type="http://schemas.openxmlformats.org/officeDocument/2006/relationships/hyperlink" Target="https://dserver.bundestag.de/btd/21/008/2100884.pdf" TargetMode="External" Id="rId101" /><Relationship Type="http://schemas.openxmlformats.org/officeDocument/2006/relationships/hyperlink" Target="https://dserver.bundestag.de/btd/21/008/2100875.pdf" TargetMode="External" Id="rId102" /><Relationship Type="http://schemas.openxmlformats.org/officeDocument/2006/relationships/hyperlink" Target="https://dserver.bundestag.de/btd/21/008/2100896.pdf" TargetMode="External" Id="rId103" /><Relationship Type="http://schemas.openxmlformats.org/officeDocument/2006/relationships/hyperlink" Target="https://dserver.bundestag.de/btd/21/008/2100822.pdf" TargetMode="External" Id="rId104" /><Relationship Type="http://schemas.openxmlformats.org/officeDocument/2006/relationships/hyperlink" Target="https://dserver.bundestag.de/btd/21/008/2100838.pdf" TargetMode="External" Id="rId105" /><Relationship Type="http://schemas.openxmlformats.org/officeDocument/2006/relationships/hyperlink" Target="https://dserver.bundestag.de/btd/21/007/2100792.pdf" TargetMode="External" Id="rId106" /><Relationship Type="http://schemas.openxmlformats.org/officeDocument/2006/relationships/hyperlink" Target="https://dserver.bundestag.de/btd/21/006/2100665.pdf" TargetMode="External" Id="rId107" /><Relationship Type="http://schemas.openxmlformats.org/officeDocument/2006/relationships/hyperlink" Target="https://dserver.bundestag.de/btd/21/006/2100658.pdf" TargetMode="External" Id="rId108" /><Relationship Type="http://schemas.openxmlformats.org/officeDocument/2006/relationships/hyperlink" Target="https://dserver.bundestag.de/btd/21/006/2100642.pdf" TargetMode="External" Id="rId109" /><Relationship Type="http://schemas.openxmlformats.org/officeDocument/2006/relationships/hyperlink" Target="https://dserver.bundestag.de/btd/21/005/2100539.pdf" TargetMode="External" Id="rId110" /><Relationship Type="http://schemas.openxmlformats.org/officeDocument/2006/relationships/hyperlink" Target="https://dserver.bundestag.de/btd/21/005/2100532.pdf" TargetMode="External" Id="rId111" /><Relationship Type="http://schemas.openxmlformats.org/officeDocument/2006/relationships/hyperlink" Target="https://dserver.bundestag.de/btd/21/004/2100494.pdf" TargetMode="External" Id="rId112" /><Relationship Type="http://schemas.openxmlformats.org/officeDocument/2006/relationships/hyperlink" Target="https://dserver.bundestag.de/btd/21/003/2100335.pdf" TargetMode="External" Id="rId113" /><Relationship Type="http://schemas.openxmlformats.org/officeDocument/2006/relationships/hyperlink" Target="https://dserver.bundestag.de/btd/21/002/2100258.pdf" TargetMode="External" Id="rId114" /><Relationship Type="http://schemas.openxmlformats.org/officeDocument/2006/relationships/hyperlink" Target="https://dserver.bundestag.de/btd/21/000/2100091.pdf" TargetMode="External" Id="rId115" /><Relationship Type="http://schemas.openxmlformats.org/officeDocument/2006/relationships/hyperlink" Target="https://dserver.bundestag.de/btd/21/000/2100058.pdf" TargetMode="External" Id="rId116" /><Relationship Type="http://schemas.openxmlformats.org/officeDocument/2006/relationships/hyperlink" Target="https://dserver.bundestag.de/btd/20/150/2015082.pdf" TargetMode="External" Id="rId117" /><Relationship Type="http://schemas.openxmlformats.org/officeDocument/2006/relationships/hyperlink" Target="https://dserver.bundestag.de/btd/20/150/2015055.pdf" TargetMode="External" Id="rId118" /><Relationship Type="http://schemas.openxmlformats.org/officeDocument/2006/relationships/hyperlink" Target="https://dserver.bundestag.de/btd/20/149/2014975.pdf" TargetMode="External" Id="rId119" /><Relationship Type="http://schemas.openxmlformats.org/officeDocument/2006/relationships/hyperlink" Target="https://dserver.bundestag.de/btd/20/149/2014959.pdf" TargetMode="External" Id="rId120" /><Relationship Type="http://schemas.openxmlformats.org/officeDocument/2006/relationships/hyperlink" Target="https://dserver.bundestag.de/btd/20/146/2014693.pdf" TargetMode="External" Id="rId121" /><Relationship Type="http://schemas.openxmlformats.org/officeDocument/2006/relationships/hyperlink" Target="https://dserver.bundestag.de/btd/20/145/2014578.pdf" TargetMode="External" Id="rId122" /><Relationship Type="http://schemas.openxmlformats.org/officeDocument/2006/relationships/hyperlink" Target="https://dserver.bundestag.de/btd/20/144/2014491.pdf" TargetMode="External" Id="rId123" /><Relationship Type="http://schemas.openxmlformats.org/officeDocument/2006/relationships/hyperlink" Target="https://dserver.bundestag.de/btd/20/144/2014408.pdf" TargetMode="External" Id="rId124" /><Relationship Type="http://schemas.openxmlformats.org/officeDocument/2006/relationships/hyperlink" Target="https://dserver.bundestag.de/btd/20/143/2014379.pdf" TargetMode="External" Id="rId125" /><Relationship Type="http://schemas.openxmlformats.org/officeDocument/2006/relationships/hyperlink" Target="https://dserver.bundestag.de/btd/20/139/2013983.pdf" TargetMode="External" Id="rId126" /><Relationship Type="http://schemas.openxmlformats.org/officeDocument/2006/relationships/hyperlink" Target="https://dserver.bundestag.de/btd/20/135/2013561.pdf" TargetMode="External" Id="rId127" /><Relationship Type="http://schemas.openxmlformats.org/officeDocument/2006/relationships/hyperlink" Target="https://dserver.bundestag.de/btd/20/134/2013462.pdf" TargetMode="External" Id="rId128" /><Relationship Type="http://schemas.openxmlformats.org/officeDocument/2006/relationships/hyperlink" Target="https://dserver.bundestag.de/btd/20/134/2013461.pdf" TargetMode="External" Id="rId129" /><Relationship Type="http://schemas.openxmlformats.org/officeDocument/2006/relationships/hyperlink" Target="https://dserver.bundestag.de/btd/20/134/2013451.pdf" TargetMode="External" Id="rId130" /><Relationship Type="http://schemas.openxmlformats.org/officeDocument/2006/relationships/hyperlink" Target="https://dserver.bundestag.de/btd/20/129/2012954.pdf" TargetMode="External" Id="rId131" /><Relationship Type="http://schemas.openxmlformats.org/officeDocument/2006/relationships/hyperlink" Target="https://dserver.bundestag.de/btd/20/129/2012953.pdf" TargetMode="External" Id="rId132" /><Relationship Type="http://schemas.openxmlformats.org/officeDocument/2006/relationships/hyperlink" Target="https://dserver.bundestag.de/btd/20/129/2012990.pdf" TargetMode="External" Id="rId133" /><Relationship Type="http://schemas.openxmlformats.org/officeDocument/2006/relationships/hyperlink" Target="https://dserver.bundestag.de/btd/20/129/2012920.pdf" TargetMode="External" Id="rId134" /><Relationship Type="http://schemas.openxmlformats.org/officeDocument/2006/relationships/hyperlink" Target="https://dserver.bundestag.de/btd/20/127/2012763.pdf" TargetMode="External" Id="rId135" /><Relationship Type="http://schemas.openxmlformats.org/officeDocument/2006/relationships/hyperlink" Target="https://dserver.bundestag.de/btd/20/128/2012823.pdf" TargetMode="External" Id="rId136" /><Relationship Type="http://schemas.openxmlformats.org/officeDocument/2006/relationships/hyperlink" Target="https://dserver.bundestag.de/btd/20/126/2012602.pdf" TargetMode="External" Id="rId137" /><Relationship Type="http://schemas.openxmlformats.org/officeDocument/2006/relationships/hyperlink" Target="https://dserver.bundestag.de/btd/20/125/2012521.pdf" TargetMode="External" Id="rId138" /><Relationship Type="http://schemas.openxmlformats.org/officeDocument/2006/relationships/hyperlink" Target="https://dserver.bundestag.de/btd/20/125/2012522.pdf" TargetMode="External" Id="rId139" /><Relationship Type="http://schemas.openxmlformats.org/officeDocument/2006/relationships/hyperlink" Target="https://dserver.bundestag.de/btd/20/125/2012511.pdf" TargetMode="External" Id="rId140" /><Relationship Type="http://schemas.openxmlformats.org/officeDocument/2006/relationships/hyperlink" Target="https://dserver.bundestag.de/btd/20/124/2012460.pdf" TargetMode="External" Id="rId141" /><Relationship Type="http://schemas.openxmlformats.org/officeDocument/2006/relationships/hyperlink" Target="https://dserver.bundestag.de/btd/20/125/2012503.pdf" TargetMode="External" Id="rId142" /><Relationship Type="http://schemas.openxmlformats.org/officeDocument/2006/relationships/hyperlink" Target="https://dserver.bundestag.de/btd/20/123/2012384.pdf" TargetMode="External" Id="rId143" /><Relationship Type="http://schemas.openxmlformats.org/officeDocument/2006/relationships/hyperlink" Target="https://dserver.bundestag.de/btd/20/123/2012338.pdf" TargetMode="External" Id="rId144" /><Relationship Type="http://schemas.openxmlformats.org/officeDocument/2006/relationships/hyperlink" Target="https://dserver.bundestag.de/btd/20/123/2012355.pdf" TargetMode="External" Id="rId145" /><Relationship Type="http://schemas.openxmlformats.org/officeDocument/2006/relationships/hyperlink" Target="https://dserver.bundestag.de/btd/20/122/2012298.pdf" TargetMode="External" Id="rId146" /><Relationship Type="http://schemas.openxmlformats.org/officeDocument/2006/relationships/hyperlink" Target="https://dserver.bundestag.de/btd/20/121/2012185.pdf" TargetMode="External" Id="rId147" /><Relationship Type="http://schemas.openxmlformats.org/officeDocument/2006/relationships/hyperlink" Target="https://dserver.bundestag.de/btd/20/122/2012222.pdf" TargetMode="External" Id="rId148" /><Relationship Type="http://schemas.openxmlformats.org/officeDocument/2006/relationships/hyperlink" Target="https://dserver.bundestag.de/btd/20/120/2012025.pdf" TargetMode="External" Id="rId149" /><Relationship Type="http://schemas.openxmlformats.org/officeDocument/2006/relationships/hyperlink" Target="https://dserver.bundestag.de/btd/20/119/2011923.pdf" TargetMode="External" Id="rId150" /><Relationship Type="http://schemas.openxmlformats.org/officeDocument/2006/relationships/hyperlink" Target="https://dserver.bundestag.de/btd/20/116/2011612.pdf" TargetMode="External" Id="rId151" /><Relationship Type="http://schemas.openxmlformats.org/officeDocument/2006/relationships/hyperlink" Target="https://dserver.bundestag.de/btd/20/115/2011589.pdf" TargetMode="External" Id="rId152" /><Relationship Type="http://schemas.openxmlformats.org/officeDocument/2006/relationships/hyperlink" Target="https://dserver.bundestag.de/btd/20/115/2011536.pdf" TargetMode="External" Id="rId153" /><Relationship Type="http://schemas.openxmlformats.org/officeDocument/2006/relationships/hyperlink" Target="https://dserver.bundestag.de/btd/20/115/2011503.pdf" TargetMode="External" Id="rId154" /><Relationship Type="http://schemas.openxmlformats.org/officeDocument/2006/relationships/hyperlink" Target="https://dserver.bundestag.de/btd/20/112/2011285.pdf" TargetMode="External" Id="rId155" /><Relationship Type="http://schemas.openxmlformats.org/officeDocument/2006/relationships/hyperlink" Target="https://dserver.bundestag.de/btd/20/112/2011222.pdf" TargetMode="External" Id="rId156" /><Relationship Type="http://schemas.openxmlformats.org/officeDocument/2006/relationships/hyperlink" Target="https://dserver.bundestag.de/btd/20/110/2011074.pdf" TargetMode="External" Id="rId157" /><Relationship Type="http://schemas.openxmlformats.org/officeDocument/2006/relationships/hyperlink" Target="https://dserver.bundestag.de/btd/20/108/2010877.pdf" TargetMode="External" Id="rId158" /><Relationship Type="http://schemas.openxmlformats.org/officeDocument/2006/relationships/hyperlink" Target="https://dserver.bundestag.de/btd/20/107/2010778.pdf" TargetMode="External" Id="rId159" /><Relationship Type="http://schemas.openxmlformats.org/officeDocument/2006/relationships/hyperlink" Target="https://dserver.bundestag.de/btd/20/105/2010566.pdf" TargetMode="External" Id="rId160" /><Relationship Type="http://schemas.openxmlformats.org/officeDocument/2006/relationships/hyperlink" Target="https://dserver.bundestag.de/btd/20/104/2010472.pdf" TargetMode="External" Id="rId161" /><Relationship Type="http://schemas.openxmlformats.org/officeDocument/2006/relationships/hyperlink" Target="https://dserver.bundestag.de/btd/20/104/2010457.pdf" TargetMode="External" Id="rId162" /><Relationship Type="http://schemas.openxmlformats.org/officeDocument/2006/relationships/hyperlink" Target="https://dserver.bundestag.de/btd/20/104/2010413.pdf" TargetMode="External" Id="rId163" /><Relationship Type="http://schemas.openxmlformats.org/officeDocument/2006/relationships/hyperlink" Target="https://dserver.bundestag.de/btd/20/103/2010356.pdf" TargetMode="External" Id="rId164" /><Relationship Type="http://schemas.openxmlformats.org/officeDocument/2006/relationships/hyperlink" Target="https://dserver.bundestag.de/btd/20/103/2010309.pdf" TargetMode="External" Id="rId165" /><Relationship Type="http://schemas.openxmlformats.org/officeDocument/2006/relationships/hyperlink" Target="https://dserver.bundestag.de/btd/20/102/2010284.pdf" TargetMode="External" Id="rId166" /><Relationship Type="http://schemas.openxmlformats.org/officeDocument/2006/relationships/hyperlink" Target="https://dserver.bundestag.de/btd/20/102/2010256.pdf" TargetMode="External" Id="rId167" /><Relationship Type="http://schemas.openxmlformats.org/officeDocument/2006/relationships/hyperlink" Target="https://dserver.bundestag.de/btd/20/101/2010158.pdf" TargetMode="External" Id="rId168" /><Relationship Type="http://schemas.openxmlformats.org/officeDocument/2006/relationships/hyperlink" Target="https://dserver.bundestag.de/btd/20/100/2010086.pdf" TargetMode="External" Id="rId169" /><Relationship Type="http://schemas.openxmlformats.org/officeDocument/2006/relationships/hyperlink" Target="https://dserver.bundestag.de/btd/20/101/2010102.pdf" TargetMode="External" Id="rId170" /><Relationship Type="http://schemas.openxmlformats.org/officeDocument/2006/relationships/hyperlink" Target="https://dserver.bundestag.de/btd/20/100/2010023.pdf" TargetMode="External" Id="rId171" /><Relationship Type="http://schemas.openxmlformats.org/officeDocument/2006/relationships/hyperlink" Target="https://dserver.bundestag.de/btd/20/099/2009960.pdf" TargetMode="External" Id="rId172" /><Relationship Type="http://schemas.openxmlformats.org/officeDocument/2006/relationships/hyperlink" Target="https://dserver.bundestag.de/btd/20/099/2009944.pdf" TargetMode="External" Id="rId173" /><Relationship Type="http://schemas.openxmlformats.org/officeDocument/2006/relationships/hyperlink" Target="https://dserver.bundestag.de/btd/20/099/2009921.pdf" TargetMode="External" Id="rId174" /><Relationship Type="http://schemas.openxmlformats.org/officeDocument/2006/relationships/hyperlink" Target="https://dserver.bundestag.de/btd/20/098/2009881.pdf" TargetMode="External" Id="rId175" /><Relationship Type="http://schemas.openxmlformats.org/officeDocument/2006/relationships/hyperlink" Target="https://dserver.bundestag.de/btd/20/098/2009869.pdf" TargetMode="External" Id="rId176" /><Relationship Type="http://schemas.openxmlformats.org/officeDocument/2006/relationships/hyperlink" Target="https://dserver.bundestag.de/btd/20/098/2009806.pdf" TargetMode="External" Id="rId177" /><Relationship Type="http://schemas.openxmlformats.org/officeDocument/2006/relationships/hyperlink" Target="https://dserver.bundestag.de/btd/20/097/2009754.pdf" TargetMode="External" Id="rId178" /><Relationship Type="http://schemas.openxmlformats.org/officeDocument/2006/relationships/hyperlink" Target="https://dserver.bundestag.de/btd/20/096/2009652.pdf" TargetMode="External" Id="rId179" /><Relationship Type="http://schemas.openxmlformats.org/officeDocument/2006/relationships/hyperlink" Target="https://dserver.bundestag.de/btd/20/096/2009607.pdf" TargetMode="External" Id="rId180" /><Relationship Type="http://schemas.openxmlformats.org/officeDocument/2006/relationships/hyperlink" Target="https://dserver.bundestag.de/btd/20/094/2009475.pdf" TargetMode="External" Id="rId181" /><Relationship Type="http://schemas.openxmlformats.org/officeDocument/2006/relationships/hyperlink" Target="https://dserver.bundestag.de/btd/20/094/2009466.pdf" TargetMode="External" Id="rId182" /><Relationship Type="http://schemas.openxmlformats.org/officeDocument/2006/relationships/hyperlink" Target="https://dserver.bundestag.de/btd/20/093/2009326.pdf" TargetMode="External" Id="rId183" /><Relationship Type="http://schemas.openxmlformats.org/officeDocument/2006/relationships/hyperlink" Target="https://dserver.bundestag.de/btd/20/093/2009331.pdf" TargetMode="External" Id="rId184" /><Relationship Type="http://schemas.openxmlformats.org/officeDocument/2006/relationships/hyperlink" Target="https://dserver.bundestag.de/btd/20/091/2009118.pdf" TargetMode="External" Id="rId185" /><Relationship Type="http://schemas.openxmlformats.org/officeDocument/2006/relationships/hyperlink" Target="https://dserver.bundestag.de/btd/20/089/2008945.pdf" TargetMode="External" Id="rId186" /><Relationship Type="http://schemas.openxmlformats.org/officeDocument/2006/relationships/hyperlink" Target="https://dserver.bundestag.de/btd/20/088/2008808.pdf" TargetMode="External" Id="rId187" /><Relationship Type="http://schemas.openxmlformats.org/officeDocument/2006/relationships/hyperlink" Target="https://dserver.bundestag.de/btd/20/087/2008709.pdf" TargetMode="External" Id="rId188" /><Relationship Type="http://schemas.openxmlformats.org/officeDocument/2006/relationships/hyperlink" Target="https://dserver.bundestag.de/btd/20/085/2008594.pdf" TargetMode="External" Id="rId189" /><Relationship Type="http://schemas.openxmlformats.org/officeDocument/2006/relationships/hyperlink" Target="https://dserver.bundestag.de/btd/20/086/2008621.pdf" TargetMode="External" Id="rId190" /><Relationship Type="http://schemas.openxmlformats.org/officeDocument/2006/relationships/hyperlink" Target="https://dserver.bundestag.de/btd/20/085/2008539.pdf" TargetMode="External" Id="rId191" /><Relationship Type="http://schemas.openxmlformats.org/officeDocument/2006/relationships/hyperlink" Target="https://dserver.bundestag.de/btd/20/084/2008446.pdf" TargetMode="External" Id="rId192" /><Relationship Type="http://schemas.openxmlformats.org/officeDocument/2006/relationships/hyperlink" Target="https://dserver.bundestag.de/btd/20/083/2008325.pdf" TargetMode="External" Id="rId193" /><Relationship Type="http://schemas.openxmlformats.org/officeDocument/2006/relationships/hyperlink" Target="https://dserver.bundestag.de/btd/20/082/2008250.pdf" TargetMode="External" Id="rId194" /><Relationship Type="http://schemas.openxmlformats.org/officeDocument/2006/relationships/hyperlink" Target="https://dserver.bundestag.de/btd/20/081/2008185.pdf" TargetMode="External" Id="rId195" /><Relationship Type="http://schemas.openxmlformats.org/officeDocument/2006/relationships/hyperlink" Target="https://dserver.bundestag.de/btd/20/081/2008124.pdf" TargetMode="External" Id="rId196" /><Relationship Type="http://schemas.openxmlformats.org/officeDocument/2006/relationships/hyperlink" Target="https://dserver.bundestag.de/btd/20/081/2008119.pdf" TargetMode="External" Id="rId197" /><Relationship Type="http://schemas.openxmlformats.org/officeDocument/2006/relationships/hyperlink" Target="https://dserver.bundestag.de/btd/20/081/2008102.pdf" TargetMode="External" Id="rId198" /><Relationship Type="http://schemas.openxmlformats.org/officeDocument/2006/relationships/hyperlink" Target="https://dserver.bundestag.de/btd/20/079/2007950.pdf" TargetMode="External" Id="rId199" /><Relationship Type="http://schemas.openxmlformats.org/officeDocument/2006/relationships/hyperlink" Target="https://dserver.bundestag.de/btd/20/079/2007973.pdf" TargetMode="External" Id="rId200" /><Relationship Type="http://schemas.openxmlformats.org/officeDocument/2006/relationships/hyperlink" Target="https://dserver.bundestag.de/btd/20/079/2007989.pdf" TargetMode="External" Id="rId201" /><Relationship Type="http://schemas.openxmlformats.org/officeDocument/2006/relationships/hyperlink" Target="https://dserver.bundestag.de/btd/20/079/2007927.pdf" TargetMode="External" Id="rId202" /><Relationship Type="http://schemas.openxmlformats.org/officeDocument/2006/relationships/hyperlink" Target="https://dserver.bundestag.de/btd/20/079/2007926.pdf" TargetMode="External" Id="rId203" /><Relationship Type="http://schemas.openxmlformats.org/officeDocument/2006/relationships/hyperlink" Target="https://dserver.bundestag.de/btd/20/078/2007894.pdf" TargetMode="External" Id="rId204" /><Relationship Type="http://schemas.openxmlformats.org/officeDocument/2006/relationships/hyperlink" Target="https://dserver.bundestag.de/btd/20/078/2007803.pdf" TargetMode="External" Id="rId205" /><Relationship Type="http://schemas.openxmlformats.org/officeDocument/2006/relationships/hyperlink" Target="https://dserver.bundestag.de/btd/20/077/2007743.pdf" TargetMode="External" Id="rId206" /><Relationship Type="http://schemas.openxmlformats.org/officeDocument/2006/relationships/hyperlink" Target="https://dserver.bundestag.de/btd/20/077/2007728.pdf" TargetMode="External" Id="rId207" /><Relationship Type="http://schemas.openxmlformats.org/officeDocument/2006/relationships/hyperlink" Target="https://dserver.bundestag.de/btd/20/075/2007533.pdf" TargetMode="External" Id="rId208" /><Relationship Type="http://schemas.openxmlformats.org/officeDocument/2006/relationships/hyperlink" Target="https://dserver.bundestag.de/btd/20/075/2007507.pdf" TargetMode="External" Id="rId209" /><Relationship Type="http://schemas.openxmlformats.org/officeDocument/2006/relationships/hyperlink" Target="https://dserver.bundestag.de/btd/20/074/2007487.pdf" TargetMode="External" Id="rId210" /><Relationship Type="http://schemas.openxmlformats.org/officeDocument/2006/relationships/hyperlink" Target="https://dserver.bundestag.de/btd/20/073/2007350.pdf" TargetMode="External" Id="rId211" /><Relationship Type="http://schemas.openxmlformats.org/officeDocument/2006/relationships/hyperlink" Target="https://dserver.bundestag.de/btd/20/072/2007287.pdf" TargetMode="External" Id="rId212" /><Relationship Type="http://schemas.openxmlformats.org/officeDocument/2006/relationships/hyperlink" Target="https://dserver.bundestag.de/btd/20/072/2007272.pdf" TargetMode="External" Id="rId213" /><Relationship Type="http://schemas.openxmlformats.org/officeDocument/2006/relationships/hyperlink" Target="https://dserver.bundestag.de/btd/20/071/2007197.pdf" TargetMode="External" Id="rId214" /><Relationship Type="http://schemas.openxmlformats.org/officeDocument/2006/relationships/hyperlink" Target="https://dserver.bundestag.de/btd/20/071/2007156.pdf" TargetMode="External" Id="rId215" /><Relationship Type="http://schemas.openxmlformats.org/officeDocument/2006/relationships/hyperlink" Target="https://dserver.bundestag.de/btd/20/070/2007048.pdf" TargetMode="External" Id="rId216" /><Relationship Type="http://schemas.openxmlformats.org/officeDocument/2006/relationships/hyperlink" Target="https://dserver.bundestag.de/btd/20/069/2006988.pdf" TargetMode="External" Id="rId217" /><Relationship Type="http://schemas.openxmlformats.org/officeDocument/2006/relationships/hyperlink" Target="https://dserver.bundestag.de/btd/20/070/2007019.pdf" TargetMode="External" Id="rId218" /><Relationship Type="http://schemas.openxmlformats.org/officeDocument/2006/relationships/hyperlink" Target="https://dserver.bundestag.de/btd/20/069/2006944.pdf" TargetMode="External" Id="rId219" /><Relationship Type="http://schemas.openxmlformats.org/officeDocument/2006/relationships/hyperlink" Target="https://dserver.bundestag.de/btd/20/069/2006922.pdf" TargetMode="External" Id="rId220" /><Relationship Type="http://schemas.openxmlformats.org/officeDocument/2006/relationships/hyperlink" Target="https://dserver.bundestag.de/btd/20/068/2006809.pdf" TargetMode="External" Id="rId221" /><Relationship Type="http://schemas.openxmlformats.org/officeDocument/2006/relationships/hyperlink" Target="https://dserver.bundestag.de/btd/20/068/2006801.pdf" TargetMode="External" Id="rId222" /><Relationship Type="http://schemas.openxmlformats.org/officeDocument/2006/relationships/hyperlink" Target="https://dserver.bundestag.de/btd/20/067/2006793.pdf" TargetMode="External" Id="rId223" /><Relationship Type="http://schemas.openxmlformats.org/officeDocument/2006/relationships/hyperlink" Target="https://dserver.bundestag.de/btd/20/067/2006747.pdf" TargetMode="External" Id="rId224" /><Relationship Type="http://schemas.openxmlformats.org/officeDocument/2006/relationships/hyperlink" Target="https://dserver.bundestag.de/btd/20/067/2006721.pdf" TargetMode="External" Id="rId225" /><Relationship Type="http://schemas.openxmlformats.org/officeDocument/2006/relationships/hyperlink" Target="https://dserver.bundestag.de/btd/20/064/2006432.pdf" TargetMode="External" Id="rId226" /><Relationship Type="http://schemas.openxmlformats.org/officeDocument/2006/relationships/hyperlink" Target="https://dserver.bundestag.de/btd/20/064/2006431.pdf" TargetMode="External" Id="rId227" /><Relationship Type="http://schemas.openxmlformats.org/officeDocument/2006/relationships/hyperlink" Target="https://dserver.bundestag.de/btd/20/064/2006429.pdf" TargetMode="External" Id="rId228" /><Relationship Type="http://schemas.openxmlformats.org/officeDocument/2006/relationships/hyperlink" Target="https://dserver.bundestag.de/btd/20/064/2006428.pdf" TargetMode="External" Id="rId229" /><Relationship Type="http://schemas.openxmlformats.org/officeDocument/2006/relationships/hyperlink" Target="https://dserver.bundestag.de/btd/20/063/2006345.pdf" TargetMode="External" Id="rId230" /><Relationship Type="http://schemas.openxmlformats.org/officeDocument/2006/relationships/hyperlink" Target="https://dserver.bundestag.de/btd/20/061/2006158.pdf" TargetMode="External" Id="rId231" /><Relationship Type="http://schemas.openxmlformats.org/officeDocument/2006/relationships/hyperlink" Target="https://dserver.bundestag.de/btd/20/061/2006108.pdf" TargetMode="External" Id="rId232" /><Relationship Type="http://schemas.openxmlformats.org/officeDocument/2006/relationships/hyperlink" Target="https://dserver.bundestag.de/btd/20/061/2006128.pdf" TargetMode="External" Id="rId233" /><Relationship Type="http://schemas.openxmlformats.org/officeDocument/2006/relationships/hyperlink" Target="https://dserver.bundestag.de/btd/20/060/2006098.pdf" TargetMode="External" Id="rId234" /><Relationship Type="http://schemas.openxmlformats.org/officeDocument/2006/relationships/hyperlink" Target="https://dserver.bundestag.de/btd/20/070/2007025.pdf" TargetMode="External" Id="rId235" /><Relationship Type="http://schemas.openxmlformats.org/officeDocument/2006/relationships/hyperlink" Target="https://dserver.bundestag.de/btd/20/060/2006053.pdf" TargetMode="External" Id="rId236" /><Relationship Type="http://schemas.openxmlformats.org/officeDocument/2006/relationships/hyperlink" Target="https://dserver.bundestag.de/btd/20/060/2006049.pdf" TargetMode="External" Id="rId237" /><Relationship Type="http://schemas.openxmlformats.org/officeDocument/2006/relationships/hyperlink" Target="https://dserver.bundestag.de/btd/20/059/2005955.pdf" TargetMode="External" Id="rId238" /><Relationship Type="http://schemas.openxmlformats.org/officeDocument/2006/relationships/hyperlink" Target="https://dserver.bundestag.de/btd/20/059/2005924.pdf" TargetMode="External" Id="rId239" /><Relationship Type="http://schemas.openxmlformats.org/officeDocument/2006/relationships/hyperlink" Target="https://dserver.bundestag.de/btd/20/058/2005808.pdf" TargetMode="External" Id="rId240" /><Relationship Type="http://schemas.openxmlformats.org/officeDocument/2006/relationships/hyperlink" Target="https://dserver.bundestag.de/btd/20/057/2005705.pdf" TargetMode="External" Id="rId241" /><Relationship Type="http://schemas.openxmlformats.org/officeDocument/2006/relationships/hyperlink" Target="https://dserver.bundestag.de/btd/20/057/2005789.pdf" TargetMode="External" Id="rId242" /><Relationship Type="http://schemas.openxmlformats.org/officeDocument/2006/relationships/hyperlink" Target="https://dserver.bundestag.de/btd/20/057/2005782.pdf" TargetMode="External" Id="rId243" /><Relationship Type="http://schemas.openxmlformats.org/officeDocument/2006/relationships/hyperlink" Target="https://dserver.bundestag.de/btd/20/057/2005726.pdf" TargetMode="External" Id="rId244" /><Relationship Type="http://schemas.openxmlformats.org/officeDocument/2006/relationships/hyperlink" Target="https://dserver.bundestag.de/btd/20/056/2005649.pdf" TargetMode="External" Id="rId245" /><Relationship Type="http://schemas.openxmlformats.org/officeDocument/2006/relationships/hyperlink" Target="https://dserver.bundestag.de/btd/20/056/2005681.pdf" TargetMode="External" Id="rId246" /><Relationship Type="http://schemas.openxmlformats.org/officeDocument/2006/relationships/hyperlink" Target="https://dserver.bundestag.de/btd/20/052/2005207.pdf" TargetMode="External" Id="rId247" /><Relationship Type="http://schemas.openxmlformats.org/officeDocument/2006/relationships/hyperlink" Target="https://dserver.bundestag.de/btd/20/052/2005204.pdf" TargetMode="External" Id="rId248" /><Relationship Type="http://schemas.openxmlformats.org/officeDocument/2006/relationships/hyperlink" Target="https://dserver.bundestag.de/btd/20/050/2005081.pdf" TargetMode="External" Id="rId249" /><Relationship Type="http://schemas.openxmlformats.org/officeDocument/2006/relationships/hyperlink" Target="https://dserver.bundestag.de/btd/20/051/2005101.pdf" TargetMode="External" Id="rId250" /><Relationship Type="http://schemas.openxmlformats.org/officeDocument/2006/relationships/hyperlink" Target="https://dserver.bundestag.de/btd/20/050/2005031.pdf" TargetMode="External" Id="rId251" /><Relationship Type="http://schemas.openxmlformats.org/officeDocument/2006/relationships/hyperlink" Target="https://dserver.bundestag.de/btd/20/050/2005032.pdf" TargetMode="External" Id="rId252" /><Relationship Type="http://schemas.openxmlformats.org/officeDocument/2006/relationships/hyperlink" Target="https://dserver.bundestag.de/btd/20/048/2004835.pdf" TargetMode="External" Id="rId253" /><Relationship Type="http://schemas.openxmlformats.org/officeDocument/2006/relationships/hyperlink" Target="https://dserver.bundestag.de/btd/20/048/2004804.pdf" TargetMode="External" Id="rId254" /><Relationship Type="http://schemas.openxmlformats.org/officeDocument/2006/relationships/hyperlink" Target="https://dserver.bundestag.de/btd/20/046/2004633.pdf" TargetMode="External" Id="rId255" /><Relationship Type="http://schemas.openxmlformats.org/officeDocument/2006/relationships/hyperlink" Target="https://dserver.bundestag.de/btd/20/044/2004493.pdf" TargetMode="External" Id="rId256" /><Relationship Type="http://schemas.openxmlformats.org/officeDocument/2006/relationships/hyperlink" Target="https://dserver.bundestag.de/btd/20/044/2004474.pdf" TargetMode="External" Id="rId257" /><Relationship Type="http://schemas.openxmlformats.org/officeDocument/2006/relationships/hyperlink" Target="https://dserver.bundestag.de/btd/20/044/2004475.pdf" TargetMode="External" Id="rId258" /><Relationship Type="http://schemas.openxmlformats.org/officeDocument/2006/relationships/hyperlink" Target="https://dserver.bundestag.de/btd/20/042/2004283.pdf" TargetMode="External" Id="rId259" /><Relationship Type="http://schemas.openxmlformats.org/officeDocument/2006/relationships/hyperlink" Target="https://dserver.bundestag.de/btd/20/041/2004188.pdf" TargetMode="External" Id="rId260" /><Relationship Type="http://schemas.openxmlformats.org/officeDocument/2006/relationships/hyperlink" Target="https://dserver.bundestag.de/btd/20/043/2004301.pdf" TargetMode="External" Id="rId261" /><Relationship Type="http://schemas.openxmlformats.org/officeDocument/2006/relationships/hyperlink" Target="https://dserver.bundestag.de/btd/20/040/2004017.pdf" TargetMode="External" Id="rId262" /><Relationship Type="http://schemas.openxmlformats.org/officeDocument/2006/relationships/hyperlink" Target="https://dserver.bundestag.de/btd/20/038/2003805.pdf" TargetMode="External" Id="rId263" /><Relationship Type="http://schemas.openxmlformats.org/officeDocument/2006/relationships/hyperlink" Target="https://dserver.bundestag.de/btd/20/037/2003764.pdf" TargetMode="External" Id="rId264" /><Relationship Type="http://schemas.openxmlformats.org/officeDocument/2006/relationships/hyperlink" Target="https://dserver.bundestag.de/btd/20/034/2003424.pdf" TargetMode="External" Id="rId265" /><Relationship Type="http://schemas.openxmlformats.org/officeDocument/2006/relationships/hyperlink" Target="https://dserver.bundestag.de/btd/20/034/2003423.pdf" TargetMode="External" Id="rId266" /><Relationship Type="http://schemas.openxmlformats.org/officeDocument/2006/relationships/hyperlink" Target="https://dserver.bundestag.de/btd/20/032/2003247.pdf" TargetMode="External" Id="rId267" /><Relationship Type="http://schemas.openxmlformats.org/officeDocument/2006/relationships/hyperlink" Target="https://dserver.bundestag.de/btd/20/032/2003216.pdf" TargetMode="External" Id="rId268" /><Relationship Type="http://schemas.openxmlformats.org/officeDocument/2006/relationships/hyperlink" Target="https://dserver.bundestag.de/btd/20/031/2003117.pdf" TargetMode="External" Id="rId269" /><Relationship Type="http://schemas.openxmlformats.org/officeDocument/2006/relationships/hyperlink" Target="https://dserver.bundestag.de/btd/20/030/2003084.pdf" TargetMode="External" Id="rId270" /><Relationship Type="http://schemas.openxmlformats.org/officeDocument/2006/relationships/hyperlink" Target="https://dserver.bundestag.de/btd/20/028/2002889.pdf" TargetMode="External" Id="rId271" /><Relationship Type="http://schemas.openxmlformats.org/officeDocument/2006/relationships/hyperlink" Target="https://dserver.bundestag.de/btd/20/028/2002872.pdf" TargetMode="External" Id="rId272" /><Relationship Type="http://schemas.openxmlformats.org/officeDocument/2006/relationships/hyperlink" Target="https://dserver.bundestag.de/btd/20/028/2002850.pdf" TargetMode="External" Id="rId273" /><Relationship Type="http://schemas.openxmlformats.org/officeDocument/2006/relationships/hyperlink" Target="https://dserver.bundestag.de/btd/20/027/2002705.pdf" TargetMode="External" Id="rId274" /><Relationship Type="http://schemas.openxmlformats.org/officeDocument/2006/relationships/hyperlink" Target="https://dserver.bundestag.de/btd/20/021/2002197.pdf" TargetMode="External" Id="rId275" /><Relationship Type="http://schemas.openxmlformats.org/officeDocument/2006/relationships/hyperlink" Target="https://dserver.bundestag.de/btd/20/021/2002169.pdf" TargetMode="External" Id="rId276" /><Relationship Type="http://schemas.openxmlformats.org/officeDocument/2006/relationships/hyperlink" Target="https://dserver.bundestag.de/btd/20/022/2002234.pdf" TargetMode="External" Id="rId277" /><Relationship Type="http://schemas.openxmlformats.org/officeDocument/2006/relationships/hyperlink" Target="https://dserver.bundestag.de/btd/20/019/2001925.pdf" TargetMode="External" Id="rId278" /><Relationship Type="http://schemas.openxmlformats.org/officeDocument/2006/relationships/hyperlink" Target="https://dserver.bundestag.de/btd/20/018/2001810.pdf" TargetMode="External" Id="rId279" /><Relationship Type="http://schemas.openxmlformats.org/officeDocument/2006/relationships/hyperlink" Target="https://dserver.bundestag.de/btd/20/016/2001691.pdf" TargetMode="External" Id="rId280" /><Relationship Type="http://schemas.openxmlformats.org/officeDocument/2006/relationships/hyperlink" Target="https://dserver.bundestag.de/btd/20/015/2001562.pdf" TargetMode="External" Id="rId281" /><Relationship Type="http://schemas.openxmlformats.org/officeDocument/2006/relationships/hyperlink" Target="https://dserver.bundestag.de/btd/20/012/2001259.pdf" TargetMode="External" Id="rId282" /><Relationship Type="http://schemas.openxmlformats.org/officeDocument/2006/relationships/hyperlink" Target="https://dserver.bundestag.de/btd/20/012/2001222.pdf" TargetMode="External" Id="rId283" /><Relationship Type="http://schemas.openxmlformats.org/officeDocument/2006/relationships/hyperlink" Target="https://dserver.bundestag.de/btd/20/011/2001169.pdf" TargetMode="External" Id="rId284" /><Relationship Type="http://schemas.openxmlformats.org/officeDocument/2006/relationships/hyperlink" Target="https://dserver.bundestag.de/btd/20/009/2000919.pdf" TargetMode="External" Id="rId285" /><Relationship Type="http://schemas.openxmlformats.org/officeDocument/2006/relationships/hyperlink" Target="https://dserver.bundestag.de/btd/20/007/2000785.pdf" TargetMode="External" Id="rId286" /><Relationship Type="http://schemas.openxmlformats.org/officeDocument/2006/relationships/hyperlink" Target="https://dserver.bundestag.de/btd/20/007/2000773.pdf" TargetMode="External" Id="rId287" /><Relationship Type="http://schemas.openxmlformats.org/officeDocument/2006/relationships/hyperlink" Target="https://dserver.bundestag.de/btd/20/007/2000710.pdf" TargetMode="External" Id="rId288" /><Relationship Type="http://schemas.openxmlformats.org/officeDocument/2006/relationships/hyperlink" Target="https://dserver.bundestag.de/btd/20/005/2000580.pdf" TargetMode="External" Id="rId289" /><Relationship Type="http://schemas.openxmlformats.org/officeDocument/2006/relationships/hyperlink" Target="https://dserver.bundestag.de/btd/20/006/2000672.pdf" TargetMode="External" Id="rId290" /><Relationship Type="http://schemas.openxmlformats.org/officeDocument/2006/relationships/hyperlink" Target="https://dserver.bundestag.de/btd/20/001/2000114.pdf" TargetMode="External" Id="rId291" /><Relationship Type="http://schemas.openxmlformats.org/officeDocument/2006/relationships/hyperlink" Target="https://dserver.bundestag.de/btd/20/000/2000069.pdf" TargetMode="External" Id="rId292"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O24"/>
  <sheetViews>
    <sheetView showGridLines="0" workbookViewId="0">
      <selection activeCell="A1" sqref="A1"/>
    </sheetView>
  </sheetViews>
  <sheetFormatPr baseColWidth="8" defaultRowHeight="15"/>
  <cols>
    <col width="42" customWidth="1" min="1" max="1"/>
    <col width="18" customWidth="1" min="2" max="2"/>
    <col width="14" customWidth="1" min="3" max="3"/>
    <col width="14" customWidth="1" min="4" max="4"/>
    <col width="14" customWidth="1" min="5" max="5"/>
    <col width="14" customWidth="1" min="6" max="6"/>
  </cols>
  <sheetData>
    <row r="1">
      <c r="A1" s="1" t="inlineStr">
        <is>
          <t>Bahnpolitik im Deutschen Bundestag</t>
        </is>
      </c>
    </row>
    <row r="2">
      <c r="A2" s="2" t="inlineStr">
        <is>
          <t>Auswertung der DIP-API des Deutschen Bundestages</t>
        </is>
      </c>
    </row>
    <row r="3">
      <c r="N3" s="3" t="inlineStr">
        <is>
          <t>Typ</t>
        </is>
      </c>
      <c r="O3" s="3" t="inlineStr">
        <is>
          <t>Anzahl</t>
        </is>
      </c>
    </row>
    <row r="4">
      <c r="A4" s="4" t="inlineStr">
        <is>
          <t>Drucksachen gesamt</t>
        </is>
      </c>
      <c r="B4" s="5">
        <f>COUNTA(Drucksachen!$D$2:$D$293)</f>
        <v/>
      </c>
      <c r="N4" t="inlineStr">
        <is>
          <t>Kleine Anfrage</t>
        </is>
      </c>
      <c r="O4">
        <f>COUNTIF(Drucksachen!$E$2:$E$293,N4)</f>
        <v/>
      </c>
    </row>
    <row r="5">
      <c r="A5" s="4" t="inlineStr">
        <is>
          <t>davon Kleine Anfragen</t>
        </is>
      </c>
      <c r="B5" s="5">
        <f>COUNTIF(Drucksachen!$E$2:$E$293,"Kleine Anfrage")</f>
        <v/>
      </c>
      <c r="N5" t="inlineStr">
        <is>
          <t>Antwort</t>
        </is>
      </c>
      <c r="O5">
        <f>COUNTIF(Drucksachen!$E$2:$E$293,N5)</f>
        <v/>
      </c>
    </row>
    <row r="6">
      <c r="A6" s="4" t="inlineStr">
        <is>
          <t>davon Antworten der Regierung</t>
        </is>
      </c>
      <c r="B6" s="5">
        <f>COUNTIF(Drucksachen!$E$2:$E$293,"Antwort")</f>
        <v/>
      </c>
      <c r="N6" t="inlineStr">
        <is>
          <t>Antrag</t>
        </is>
      </c>
      <c r="O6">
        <f>COUNTIF(Drucksachen!$E$2:$E$293,N6)</f>
        <v/>
      </c>
    </row>
    <row r="7">
      <c r="A7" s="4" t="inlineStr">
        <is>
          <t>Antraege und Gesetzentwuerfe</t>
        </is>
      </c>
      <c r="B7" s="5">
        <f>COUNTIF(Drucksachen!$E$2:$E$293,"Antrag")+COUNTIF(Drucksachen!$E$2:$E$293,"Gesetzentwurf")+COUNTIF(Drucksachen!$E$2:$E$293,"Entschließungsantrag")</f>
        <v/>
      </c>
      <c r="N7" t="inlineStr">
        <is>
          <t>Beschlussempfehlung und Bericht</t>
        </is>
      </c>
      <c r="O7">
        <f>COUNTIF(Drucksachen!$E$2:$E$293,N7)</f>
        <v/>
      </c>
    </row>
    <row r="8">
      <c r="A8" s="4" t="inlineStr">
        <is>
          <t>Initiativen der Opposition</t>
        </is>
      </c>
      <c r="B8" s="5">
        <f>COUNTIF(Drucksachen!$G$2:$G$293,"Opposition")</f>
        <v/>
      </c>
      <c r="N8" t="inlineStr">
        <is>
          <t>Unterrichtung</t>
        </is>
      </c>
      <c r="O8">
        <f>COUNTIF(Drucksachen!$E$2:$E$293,N8)</f>
        <v/>
      </c>
    </row>
    <row r="9">
      <c r="A9" s="4" t="inlineStr">
        <is>
          <t>Initiativen der Regierungsfraktionen</t>
        </is>
      </c>
      <c r="B9" s="5">
        <f>COUNTIF(Drucksachen!$G$2:$G$293,"Regierungsfraktion")</f>
        <v/>
      </c>
      <c r="N9" t="inlineStr">
        <is>
          <t>Wahlvorschlag</t>
        </is>
      </c>
      <c r="O9">
        <f>COUNTIF(Drucksachen!$E$2:$E$293,N9)</f>
        <v/>
      </c>
    </row>
    <row r="10">
      <c r="A10" s="4" t="inlineStr">
        <is>
          <t>Aktivste Fraktion</t>
        </is>
      </c>
      <c r="B10" s="6">
        <f>INDEX(Initiativen!$A$5:$A$9,MATCH(MAX(Initiativen!$G$5:$G$9),Initiativen!$G$5:$G$9,0))</f>
        <v/>
      </c>
      <c r="N10" t="inlineStr">
        <is>
          <t>Gesetzentwurf</t>
        </is>
      </c>
      <c r="O10">
        <f>COUNTIF(Drucksachen!$E$2:$E$293,N10)</f>
        <v/>
      </c>
    </row>
    <row r="11">
      <c r="A11" s="4" t="inlineStr">
        <is>
          <t>Mittlere Antwortzeit (Tage)</t>
        </is>
      </c>
      <c r="B11" s="7">
        <f>IFERROR(AVERAGEIFS(Drucksachen!$K$2:$K$293,Drucksachen!$K$2:$K$293,"&gt;0"),"")</f>
        <v/>
      </c>
      <c r="N11" t="inlineStr">
        <is>
          <t>Ergänzende Antwort</t>
        </is>
      </c>
      <c r="O11">
        <f>COUNTIF(Drucksachen!$E$2:$E$293,N11)</f>
        <v/>
      </c>
    </row>
    <row r="12">
      <c r="A12" s="4" t="inlineStr">
        <is>
          <t>Erste Drucksache</t>
        </is>
      </c>
      <c r="B12" s="8">
        <f>MIN(Drucksachen!$A$2:$A$293)</f>
        <v/>
      </c>
      <c r="N12" t="inlineStr">
        <is>
          <t>Entschließungsantrag</t>
        </is>
      </c>
      <c r="O12">
        <f>COUNTIF(Drucksachen!$E$2:$E$293,N12)</f>
        <v/>
      </c>
    </row>
    <row r="13">
      <c r="A13" s="4" t="inlineStr">
        <is>
          <t>Letzte Drucksache</t>
        </is>
      </c>
      <c r="B13" s="8">
        <f>MAX(Drucksachen!$A$2:$A$293)</f>
        <v/>
      </c>
    </row>
    <row r="14">
      <c r="N14" s="3" t="inlineStr">
        <is>
          <t>Rolle</t>
        </is>
      </c>
      <c r="O14" s="3" t="inlineStr">
        <is>
          <t>Anzahl</t>
        </is>
      </c>
    </row>
    <row r="15">
      <c r="A15" s="9" t="inlineStr">
        <is>
          <t>Lesehinweise und Datenqualitaet</t>
        </is>
      </c>
      <c r="N15" t="inlineStr">
        <is>
          <t>Regierung</t>
        </is>
      </c>
      <c r="O15">
        <f>COUNTIF(Drucksachen!$G$2:$G$293,N15)</f>
        <v/>
      </c>
    </row>
    <row r="16" ht="26" customHeight="1">
      <c r="A16" s="10" t="inlineStr">
        <is>
          <t>• Erhebung ueber die Titelsuche der DIP-API. Eine Drucksache wird nur erfasst, wenn einer der Suchbegriffe im Titel steht - Vollstaendigkeit ist damit ausdruecklich nicht gegeben.</t>
        </is>
      </c>
      <c r="N16" t="inlineStr">
        <is>
          <t>Opposition</t>
        </is>
      </c>
      <c r="O16">
        <f>COUNTIF(Drucksachen!$G$2:$G$293,N16)</f>
        <v/>
      </c>
    </row>
    <row r="17" ht="26" customHeight="1">
      <c r="A17" s="10" t="inlineStr">
        <is>
          <t>• Suchbegriffe: Schienenverkehr, Schienennetz, Schieneninfrastruktur, Eisenbahn, Deutsche Bahn, Bahnstrecke, Bahnhof, Nahverkehr, Regionalisierungsmittel, Deutschlandtakt, Deutschlandticket</t>
        </is>
      </c>
      <c r="N17" t="inlineStr">
        <is>
          <t>Regierungsfraktion</t>
        </is>
      </c>
      <c r="O17">
        <f>COUNTIF(Drucksachen!$G$2:$G$293,N17)</f>
        <v/>
      </c>
    </row>
    <row r="18" ht="26" customHeight="1">
      <c r="A18" s="10" t="inlineStr">
        <is>
          <t>• Die Spalte 'Rolle ab WP 21' beschreibt den heutigen Status. Aeltere Drucksachen derselben Fraktion koennen aus der Oppositionszeit stammen - massgeblich ist die Spalte 'Rolle' auf dem Blatt Drucksachen.</t>
        </is>
      </c>
      <c r="N18" t="inlineStr">
        <is>
          <t>Ausschuss</t>
        </is>
      </c>
      <c r="O18">
        <f>COUNTIF(Drucksachen!$G$2:$G$293,N18)</f>
        <v/>
      </c>
    </row>
    <row r="19" ht="26" customHeight="1">
      <c r="A19" s="10" t="inlineStr">
        <is>
          <t>• Der Fraktionsvergleich auf dem Blatt 'Initiativen' zaehlt nur selbst eingebrachte Drucksachen. Antworten der Bundesregierung werden der Regierung zugerechnet, nicht der fragenden Fraktion.</t>
        </is>
      </c>
      <c r="N19" t="inlineStr">
        <is>
          <t>Fraktionsuebergreifend</t>
        </is>
      </c>
      <c r="O19">
        <f>COUNTIF(Drucksachen!$G$2:$G$293,N19)</f>
        <v/>
      </c>
    </row>
    <row r="20" ht="26" customHeight="1">
      <c r="A20" s="10" t="inlineStr">
        <is>
          <t>• Regierungsfraktionen stellen praktisch keine Kleinen Anfragen an die eigene Regierung. Hohe Zahlen bei Oppositionsfraktionen sind daher kein Mass fuer bahnpolitisches Engagement, sondern folgen aus der parlamentarischen Rolle. Die Spalte 'Rolle' macht das sichtbar.</t>
        </is>
      </c>
      <c r="N20" t="inlineStr">
        <is>
          <t>Sonstige</t>
        </is>
      </c>
      <c r="O20">
        <f>COUNTIF(Drucksachen!$G$2:$G$293,N20)</f>
        <v/>
      </c>
    </row>
    <row r="21" ht="26" customHeight="1">
      <c r="A21" s="10" t="inlineStr">
        <is>
          <t>• Wahlperiode 20 (bis Maerz 2025): Regierung aus SPD, Gruenen und FDP. Wahlperiode 21: Regierung aus CDU/CSU und SPD.</t>
        </is>
      </c>
    </row>
    <row r="22" ht="26" customHeight="1">
      <c r="A22" s="10" t="inlineStr">
        <is>
          <t>• Gemeinschafts-Drucksachen mehrerer Fraktionen laufen unter 'Mehrere Fraktionen' und werden keiner einzelnen Fraktion zugerechnet.</t>
        </is>
      </c>
    </row>
    <row r="23" ht="26" customHeight="1">
      <c r="A23" s="10" t="inlineStr">
        <is>
          <t>• Themen werden aus dem Titel abgeleitet, Mehrfachzuordnung ist moeglich und beabsichtigt.</t>
        </is>
      </c>
    </row>
    <row r="24" ht="26" customHeight="1">
      <c r="A24" s="10" t="inlineStr">
        <is>
          <t>• Erstellt am 11.10.2026 10:58 durch bahnpolitik_dip.py Version 3.</t>
        </is>
      </c>
    </row>
  </sheetData>
  <mergeCells count="9">
    <mergeCell ref="A24:F24"/>
    <mergeCell ref="A16:F16"/>
    <mergeCell ref="A19:F19"/>
    <mergeCell ref="A23:F23"/>
    <mergeCell ref="A22:F22"/>
    <mergeCell ref="A17:F17"/>
    <mergeCell ref="A18:F18"/>
    <mergeCell ref="A20:F20"/>
    <mergeCell ref="A21:F2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293"/>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0" customWidth="1" min="3" max="3"/>
    <col width="10" customWidth="1" min="4" max="4"/>
    <col width="26" customWidth="1" min="5" max="5"/>
    <col width="17" customWidth="1" min="6" max="6"/>
    <col width="19" customWidth="1" min="7" max="7"/>
    <col width="5" customWidth="1" min="8" max="8"/>
    <col width="34" customWidth="1" min="9" max="9"/>
    <col width="11" customWidth="1" min="10" max="10"/>
    <col width="13" customWidth="1" min="11" max="11"/>
    <col width="11" customWidth="1" min="12" max="12"/>
    <col width="70" customWidth="1" min="13" max="13"/>
    <col width="34" customWidth="1" min="14" max="14"/>
    <col width="6" customWidth="1" min="15" max="15"/>
    <col width="14" customWidth="1" min="16" max="16"/>
    <col width="26" customWidth="1" min="17" max="17"/>
    <col width="11" customWidth="1" min="18" max="18"/>
  </cols>
  <sheetData>
    <row r="1" ht="28" customHeight="1">
      <c r="A1" s="11" t="inlineStr">
        <is>
          <t>Datum</t>
        </is>
      </c>
      <c r="B1" s="11" t="inlineStr">
        <is>
          <t>Jahr</t>
        </is>
      </c>
      <c r="C1" s="11" t="inlineStr">
        <is>
          <t>Quartal</t>
        </is>
      </c>
      <c r="D1" s="11" t="inlineStr">
        <is>
          <t>Nummer</t>
        </is>
      </c>
      <c r="E1" s="11" t="inlineStr">
        <is>
          <t>Typ</t>
        </is>
      </c>
      <c r="F1" s="11" t="inlineStr">
        <is>
          <t>Urheber</t>
        </is>
      </c>
      <c r="G1" s="11" t="inlineStr">
        <is>
          <t>Rolle</t>
        </is>
      </c>
      <c r="H1" s="11" t="inlineStr">
        <is>
          <t>WP</t>
        </is>
      </c>
      <c r="I1" s="11" t="inlineStr">
        <is>
          <t>Themen</t>
        </is>
      </c>
      <c r="J1" s="11" t="inlineStr">
        <is>
          <t>Bezug auf</t>
        </is>
      </c>
      <c r="K1" s="11" t="inlineStr">
        <is>
          <t>Antwort nach (Tage)</t>
        </is>
      </c>
      <c r="L1" s="11" t="inlineStr">
        <is>
          <t>Antwort in</t>
        </is>
      </c>
      <c r="M1" s="11" t="inlineStr">
        <is>
          <t>Titel</t>
        </is>
      </c>
      <c r="N1" s="11" t="inlineStr">
        <is>
          <t>Urheber (roh)</t>
        </is>
      </c>
      <c r="O1" s="11" t="inlineStr">
        <is>
          <t>PDF</t>
        </is>
      </c>
      <c r="P1" s="3" t="inlineStr">
        <is>
          <t>Anfrage von</t>
        </is>
      </c>
      <c r="Q1" s="12" t="inlineStr">
        <is>
          <t>Serie</t>
        </is>
      </c>
      <c r="R1" s="3" t="inlineStr">
        <is>
          <t>Abgestimmt</t>
        </is>
      </c>
    </row>
    <row r="2">
      <c r="A2" s="13" t="n">
        <v>46294</v>
      </c>
      <c r="B2" s="14">
        <f>IF(A2="","",YEAR(A2))</f>
        <v/>
      </c>
      <c r="C2" s="14">
        <f>IF(A2="","",YEAR(A2)&amp;"-Q"&amp;ROUNDUP(MONTH(A2)/3,0))</f>
        <v/>
      </c>
      <c r="D2" s="14" t="inlineStr">
        <is>
          <t>21/8263</t>
        </is>
      </c>
      <c r="E2" s="14" t="inlineStr">
        <is>
          <t>Antwort</t>
        </is>
      </c>
      <c r="F2" s="14" t="inlineStr">
        <is>
          <t>Bundesregierung</t>
        </is>
      </c>
      <c r="G2" s="14" t="inlineStr">
        <is>
          <t>Regierung</t>
        </is>
      </c>
      <c r="H2" s="14" t="inlineStr">
        <is>
          <t>21</t>
        </is>
      </c>
      <c r="I2" s="14" t="inlineStr">
        <is>
          <t>Infrastruktur/Netz</t>
        </is>
      </c>
      <c r="J2" s="14" t="inlineStr">
        <is>
          <t>21/7722</t>
        </is>
      </c>
      <c r="K2" s="15">
        <f>IF(OR(J2="",LEFT(E2,7)&lt;&gt;"Antwort"),"",IFERROR(A2-INDEX($A$2:$A$293,MATCH(J2,$D$2:$D$293,0)),""))</f>
        <v/>
      </c>
      <c r="L2" s="14">
        <f>IF(E2&lt;&gt;"Kleine Anfrage","",IFERROR(INDEX($D$2:$D$293,MATCH(D2,$J$2:$J$293,0)),"offen"))</f>
        <v/>
      </c>
      <c r="M2" s="14" t="inlineStr">
        <is>
          <t>Schieneninfrastruktur in Ostdeutschland</t>
        </is>
      </c>
      <c r="N2" s="14" t="inlineStr">
        <is>
          <t>Bundesregierung</t>
        </is>
      </c>
      <c r="O2" s="16" t="inlineStr">
        <is>
          <t>PDF</t>
        </is>
      </c>
      <c r="P2" s="14" t="inlineStr">
        <is>
          <t>Linke</t>
        </is>
      </c>
      <c r="Q2" s="14" t="inlineStr"/>
      <c r="R2" s="14">
        <f>IF(COUNTIF(Abstimmungen!$B$5:$B$2000,D2)-COUNTIFS(Abstimmungen!$B$5:$B$2000,D2,Abstimmungen!$D$5:$D$2000,"*berweisung*")&gt;0,1,0)</f>
        <v/>
      </c>
    </row>
    <row r="3">
      <c r="A3" s="13" t="n">
        <v>46290</v>
      </c>
      <c r="B3" s="14">
        <f>IF(A3="","",YEAR(A3))</f>
        <v/>
      </c>
      <c r="C3" s="14">
        <f>IF(A3="","",YEAR(A3)&amp;"-Q"&amp;ROUNDUP(MONTH(A3)/3,0))</f>
        <v/>
      </c>
      <c r="D3" s="14" t="inlineStr">
        <is>
          <t>21/8225</t>
        </is>
      </c>
      <c r="E3" s="14" t="inlineStr">
        <is>
          <t>Kleine Anfrage</t>
        </is>
      </c>
      <c r="F3" s="14" t="inlineStr">
        <is>
          <t>AfD</t>
        </is>
      </c>
      <c r="G3" s="14" t="inlineStr">
        <is>
          <t>Opposition</t>
        </is>
      </c>
      <c r="H3" s="14" t="inlineStr">
        <is>
          <t>21</t>
        </is>
      </c>
      <c r="I3" s="14" t="inlineStr">
        <is>
          <t>Bahnhoefe; Kriminalitaet</t>
        </is>
      </c>
      <c r="J3" s="14" t="inlineStr"/>
      <c r="K3" s="15">
        <f>IF(OR(J3="",LEFT(E3,7)&lt;&gt;"Antwort"),"",IFERROR(A3-INDEX($A$2:$A$293,MATCH(J3,$D$2:$D$293,0)),""))</f>
        <v/>
      </c>
      <c r="L3" s="14">
        <f>IF(E3&lt;&gt;"Kleine Anfrage","",IFERROR(INDEX($D$2:$D$293,MATCH(D3,$J$2:$J$293,0)),"offen"))</f>
        <v/>
      </c>
      <c r="M3" s="14" t="inlineStr">
        <is>
          <t>Kriminalitätsfelder in Bezug auf Bahnhöfe und Züge im ersten Halbjahr 2026</t>
        </is>
      </c>
      <c r="N3" s="14" t="inlineStr">
        <is>
          <t>Fraktion der AfD</t>
        </is>
      </c>
      <c r="O3" s="16" t="inlineStr">
        <is>
          <t>PDF</t>
        </is>
      </c>
      <c r="P3" s="14" t="inlineStr"/>
      <c r="Q3" s="14" t="inlineStr">
        <is>
          <t>Bahnhöfe / Kriminalitätsfelder</t>
        </is>
      </c>
      <c r="R3" s="14">
        <f>IF(COUNTIF(Abstimmungen!$B$5:$B$2000,D3)-COUNTIFS(Abstimmungen!$B$5:$B$2000,D3,Abstimmungen!$D$5:$D$2000,"*berweisung*")&gt;0,1,0)</f>
        <v/>
      </c>
    </row>
    <row r="4">
      <c r="A4" s="13" t="n">
        <v>46275</v>
      </c>
      <c r="B4" s="14">
        <f>IF(A4="","",YEAR(A4))</f>
        <v/>
      </c>
      <c r="C4" s="14">
        <f>IF(A4="","",YEAR(A4)&amp;"-Q"&amp;ROUNDUP(MONTH(A4)/3,0))</f>
        <v/>
      </c>
      <c r="D4" s="14" t="inlineStr">
        <is>
          <t>21/7988</t>
        </is>
      </c>
      <c r="E4" s="14" t="inlineStr">
        <is>
          <t>Antwort</t>
        </is>
      </c>
      <c r="F4" s="14" t="inlineStr">
        <is>
          <t>Bundesregierung</t>
        </is>
      </c>
      <c r="G4" s="14" t="inlineStr">
        <is>
          <t>Regierung</t>
        </is>
      </c>
      <c r="H4" s="14" t="inlineStr">
        <is>
          <t>21</t>
        </is>
      </c>
      <c r="I4" s="14" t="inlineStr">
        <is>
          <t>Puenktlichkeit/Qualitaet</t>
        </is>
      </c>
      <c r="J4" s="14" t="inlineStr">
        <is>
          <t>21/7607</t>
        </is>
      </c>
      <c r="K4" s="15">
        <f>IF(OR(J4="",LEFT(E4,7)&lt;&gt;"Antwort"),"",IFERROR(A4-INDEX($A$2:$A$293,MATCH(J4,$D$2:$D$293,0)),""))</f>
        <v/>
      </c>
      <c r="L4" s="14">
        <f>IF(E4&lt;&gt;"Kleine Anfrage","",IFERROR(INDEX($D$2:$D$293,MATCH(D4,$J$2:$J$293,0)),"offen"))</f>
        <v/>
      </c>
      <c r="M4" s="14" t="inlineStr">
        <is>
          <t>Bundesweiter Funkausfall bei der Deutschen Bahn - Ursachen, Auswirkungen und Konsequenzen für die digitale Bahninfrastruktur</t>
        </is>
      </c>
      <c r="N4" s="14" t="inlineStr">
        <is>
          <t>Bundesregierung</t>
        </is>
      </c>
      <c r="O4" s="16" t="inlineStr">
        <is>
          <t>PDF</t>
        </is>
      </c>
      <c r="P4" s="14" t="inlineStr">
        <is>
          <t>AfD</t>
        </is>
      </c>
      <c r="Q4" s="14" t="inlineStr"/>
      <c r="R4" s="14">
        <f>IF(COUNTIF(Abstimmungen!$B$5:$B$2000,D4)-COUNTIFS(Abstimmungen!$B$5:$B$2000,D4,Abstimmungen!$D$5:$D$2000,"*berweisung*")&gt;0,1,0)</f>
        <v/>
      </c>
    </row>
    <row r="5">
      <c r="A5" s="13" t="n">
        <v>46275</v>
      </c>
      <c r="B5" s="14">
        <f>IF(A5="","",YEAR(A5))</f>
        <v/>
      </c>
      <c r="C5" s="14">
        <f>IF(A5="","",YEAR(A5)&amp;"-Q"&amp;ROUNDUP(MONTH(A5)/3,0))</f>
        <v/>
      </c>
      <c r="D5" s="14" t="inlineStr">
        <is>
          <t>21/8000</t>
        </is>
      </c>
      <c r="E5" s="14" t="inlineStr">
        <is>
          <t>Unterrichtung</t>
        </is>
      </c>
      <c r="F5" s="14" t="inlineStr">
        <is>
          <t>Bundesregierung</t>
        </is>
      </c>
      <c r="G5" s="14" t="inlineStr">
        <is>
          <t>Regierung</t>
        </is>
      </c>
      <c r="H5" s="14" t="inlineStr">
        <is>
          <t>21</t>
        </is>
      </c>
      <c r="I5" s="14" t="inlineStr">
        <is>
          <t>Nahverkehr/SPNV; Finanzierung</t>
        </is>
      </c>
      <c r="J5" s="14" t="inlineStr"/>
      <c r="K5" s="15">
        <f>IF(OR(J5="",LEFT(E5,7)&lt;&gt;"Antwort"),"",IFERROR(A5-INDEX($A$2:$A$293,MATCH(J5,$D$2:$D$293,0)),""))</f>
        <v/>
      </c>
      <c r="L5" s="14">
        <f>IF(E5&lt;&gt;"Kleine Anfrage","",IFERROR(INDEX($D$2:$D$293,MATCH(D5,$J$2:$J$293,0)),"offen"))</f>
        <v/>
      </c>
      <c r="M5" s="14" t="inlineStr">
        <is>
          <t>Bericht der Bundesregierung zur Verwendung der Regionalisierungsmittel durch die Länder im Jahr 2020</t>
        </is>
      </c>
      <c r="N5" s="14" t="inlineStr">
        <is>
          <t>Bundesregierung</t>
        </is>
      </c>
      <c r="O5" s="16" t="inlineStr">
        <is>
          <t>PDF</t>
        </is>
      </c>
      <c r="P5" s="14" t="inlineStr"/>
      <c r="Q5" s="14" t="inlineStr"/>
      <c r="R5" s="14">
        <f>IF(COUNTIF(Abstimmungen!$B$5:$B$2000,D5)-COUNTIFS(Abstimmungen!$B$5:$B$2000,D5,Abstimmungen!$D$5:$D$2000,"*berweisung*")&gt;0,1,0)</f>
        <v/>
      </c>
    </row>
    <row r="6">
      <c r="A6" s="13" t="n">
        <v>46268</v>
      </c>
      <c r="B6" s="14">
        <f>IF(A6="","",YEAR(A6))</f>
        <v/>
      </c>
      <c r="C6" s="14">
        <f>IF(A6="","",YEAR(A6)&amp;"-Q"&amp;ROUNDUP(MONTH(A6)/3,0))</f>
        <v/>
      </c>
      <c r="D6" s="14" t="inlineStr">
        <is>
          <t>21/7838</t>
        </is>
      </c>
      <c r="E6" s="14" t="inlineStr">
        <is>
          <t>Antwort</t>
        </is>
      </c>
      <c r="F6" s="14" t="inlineStr">
        <is>
          <t>Bundesregierung</t>
        </is>
      </c>
      <c r="G6" s="14" t="inlineStr">
        <is>
          <t>Regierung</t>
        </is>
      </c>
      <c r="H6" s="14" t="inlineStr">
        <is>
          <t>21</t>
        </is>
      </c>
      <c r="I6" s="14" t="inlineStr">
        <is>
          <t>Infrastruktur/Netz</t>
        </is>
      </c>
      <c r="J6" s="14" t="inlineStr">
        <is>
          <t>21/7483</t>
        </is>
      </c>
      <c r="K6" s="15">
        <f>IF(OR(J6="",LEFT(E6,7)&lt;&gt;"Antwort"),"",IFERROR(A6-INDEX($A$2:$A$293,MATCH(J6,$D$2:$D$293,0)),""))</f>
        <v/>
      </c>
      <c r="L6" s="14">
        <f>IF(E6&lt;&gt;"Kleine Anfrage","",IFERROR(INDEX($D$2:$D$293,MATCH(D6,$J$2:$J$293,0)),"offen"))</f>
        <v/>
      </c>
      <c r="M6" s="14" t="inlineStr">
        <is>
          <t>Ersatz von Brücken auf der Bahnstrecke Köln-Siegen (Siegstrecke)</t>
        </is>
      </c>
      <c r="N6" s="14" t="inlineStr">
        <is>
          <t>Bundesregierung</t>
        </is>
      </c>
      <c r="O6" s="16" t="inlineStr">
        <is>
          <t>PDF</t>
        </is>
      </c>
      <c r="P6" s="14" t="inlineStr">
        <is>
          <t>Gruene</t>
        </is>
      </c>
      <c r="Q6" s="14" t="inlineStr"/>
      <c r="R6" s="14">
        <f>IF(COUNTIF(Abstimmungen!$B$5:$B$2000,D6)-COUNTIFS(Abstimmungen!$B$5:$B$2000,D6,Abstimmungen!$D$5:$D$2000,"*berweisung*")&gt;0,1,0)</f>
        <v/>
      </c>
    </row>
    <row r="7">
      <c r="A7" s="13" t="n">
        <v>46261</v>
      </c>
      <c r="B7" s="14">
        <f>IF(A7="","",YEAR(A7))</f>
        <v/>
      </c>
      <c r="C7" s="14">
        <f>IF(A7="","",YEAR(A7)&amp;"-Q"&amp;ROUNDUP(MONTH(A7)/3,0))</f>
        <v/>
      </c>
      <c r="D7" s="14" t="inlineStr">
        <is>
          <t>21/7755</t>
        </is>
      </c>
      <c r="E7" s="14" t="inlineStr">
        <is>
          <t>Antwort</t>
        </is>
      </c>
      <c r="F7" s="14" t="inlineStr">
        <is>
          <t>Bundesregierung</t>
        </is>
      </c>
      <c r="G7" s="14" t="inlineStr">
        <is>
          <t>Regierung</t>
        </is>
      </c>
      <c r="H7" s="14" t="inlineStr">
        <is>
          <t>21</t>
        </is>
      </c>
      <c r="I7" s="14" t="inlineStr">
        <is>
          <t>Bahnhoefe</t>
        </is>
      </c>
      <c r="J7" s="14" t="inlineStr">
        <is>
          <t>21/7468</t>
        </is>
      </c>
      <c r="K7" s="15">
        <f>IF(OR(J7="",LEFT(E7,7)&lt;&gt;"Antwort"),"",IFERROR(A7-INDEX($A$2:$A$293,MATCH(J7,$D$2:$D$293,0)),""))</f>
        <v/>
      </c>
      <c r="L7" s="14">
        <f>IF(E7&lt;&gt;"Kleine Anfrage","",IFERROR(INDEX($D$2:$D$293,MATCH(D7,$J$2:$J$293,0)),"offen"))</f>
        <v/>
      </c>
      <c r="M7" s="14" t="inlineStr">
        <is>
          <t>Anbindung des zukünftigen Abstellbahnhofs Untertürkheim an den Bahnhof Stuttgart-Bad Cannstatt</t>
        </is>
      </c>
      <c r="N7" s="14" t="inlineStr">
        <is>
          <t>Bundesregierung</t>
        </is>
      </c>
      <c r="O7" s="16" t="inlineStr">
        <is>
          <t>PDF</t>
        </is>
      </c>
      <c r="P7" s="14" t="inlineStr">
        <is>
          <t>Gruene</t>
        </is>
      </c>
      <c r="Q7" s="14" t="inlineStr"/>
      <c r="R7" s="14">
        <f>IF(COUNTIF(Abstimmungen!$B$5:$B$2000,D7)-COUNTIFS(Abstimmungen!$B$5:$B$2000,D7,Abstimmungen!$D$5:$D$2000,"*berweisung*")&gt;0,1,0)</f>
        <v/>
      </c>
    </row>
    <row r="8">
      <c r="A8" s="13" t="n">
        <v>46259</v>
      </c>
      <c r="B8" s="14">
        <f>IF(A8="","",YEAR(A8))</f>
        <v/>
      </c>
      <c r="C8" s="14">
        <f>IF(A8="","",YEAR(A8)&amp;"-Q"&amp;ROUNDUP(MONTH(A8)/3,0))</f>
        <v/>
      </c>
      <c r="D8" s="14" t="inlineStr">
        <is>
          <t>21/7722</t>
        </is>
      </c>
      <c r="E8" s="14" t="inlineStr">
        <is>
          <t>Kleine Anfrage</t>
        </is>
      </c>
      <c r="F8" s="14" t="inlineStr">
        <is>
          <t>Linke</t>
        </is>
      </c>
      <c r="G8" s="14" t="inlineStr">
        <is>
          <t>Opposition</t>
        </is>
      </c>
      <c r="H8" s="14" t="inlineStr">
        <is>
          <t>21</t>
        </is>
      </c>
      <c r="I8" s="14" t="inlineStr">
        <is>
          <t>Infrastruktur/Netz</t>
        </is>
      </c>
      <c r="J8" s="14" t="inlineStr"/>
      <c r="K8" s="15">
        <f>IF(OR(J8="",LEFT(E8,7)&lt;&gt;"Antwort"),"",IFERROR(A8-INDEX($A$2:$A$293,MATCH(J8,$D$2:$D$293,0)),""))</f>
        <v/>
      </c>
      <c r="L8" s="14">
        <f>IF(E8&lt;&gt;"Kleine Anfrage","",IFERROR(INDEX($D$2:$D$293,MATCH(D8,$J$2:$J$293,0)),"offen"))</f>
        <v/>
      </c>
      <c r="M8" s="14" t="inlineStr">
        <is>
          <t>Schieneninfrastruktur in Ostdeutschland</t>
        </is>
      </c>
      <c r="N8" s="14" t="inlineStr">
        <is>
          <t>Fraktion DIE LINKE</t>
        </is>
      </c>
      <c r="O8" s="16" t="inlineStr">
        <is>
          <t>PDF</t>
        </is>
      </c>
      <c r="P8" s="14" t="inlineStr"/>
      <c r="Q8" s="14" t="inlineStr"/>
      <c r="R8" s="14">
        <f>IF(COUNTIF(Abstimmungen!$B$5:$B$2000,D8)-COUNTIFS(Abstimmungen!$B$5:$B$2000,D8,Abstimmungen!$D$5:$D$2000,"*berweisung*")&gt;0,1,0)</f>
        <v/>
      </c>
    </row>
    <row r="9">
      <c r="A9" s="13" t="n">
        <v>46251</v>
      </c>
      <c r="B9" s="14">
        <f>IF(A9="","",YEAR(A9))</f>
        <v/>
      </c>
      <c r="C9" s="14">
        <f>IF(A9="","",YEAR(A9)&amp;"-Q"&amp;ROUNDUP(MONTH(A9)/3,0))</f>
        <v/>
      </c>
      <c r="D9" s="14" t="inlineStr">
        <is>
          <t>21/7607</t>
        </is>
      </c>
      <c r="E9" s="14" t="inlineStr">
        <is>
          <t>Kleine Anfrage</t>
        </is>
      </c>
      <c r="F9" s="14" t="inlineStr">
        <is>
          <t>AfD</t>
        </is>
      </c>
      <c r="G9" s="14" t="inlineStr">
        <is>
          <t>Opposition</t>
        </is>
      </c>
      <c r="H9" s="14" t="inlineStr">
        <is>
          <t>21</t>
        </is>
      </c>
      <c r="I9" s="14" t="inlineStr">
        <is>
          <t>Puenktlichkeit/Qualitaet</t>
        </is>
      </c>
      <c r="J9" s="14" t="inlineStr"/>
      <c r="K9" s="15">
        <f>IF(OR(J9="",LEFT(E9,7)&lt;&gt;"Antwort"),"",IFERROR(A9-INDEX($A$2:$A$293,MATCH(J9,$D$2:$D$293,0)),""))</f>
        <v/>
      </c>
      <c r="L9" s="14">
        <f>IF(E9&lt;&gt;"Kleine Anfrage","",IFERROR(INDEX($D$2:$D$293,MATCH(D9,$J$2:$J$293,0)),"offen"))</f>
        <v/>
      </c>
      <c r="M9" s="14" t="inlineStr">
        <is>
          <t>Bundesweiter Funkausfall bei der Deutschen Bahn - Ursachen, Auswirkungen und Konsequenzen für die digitale Bahninfrastruktur</t>
        </is>
      </c>
      <c r="N9" s="14" t="inlineStr">
        <is>
          <t>Fraktion der AfD</t>
        </is>
      </c>
      <c r="O9" s="16" t="inlineStr">
        <is>
          <t>PDF</t>
        </is>
      </c>
      <c r="P9" s="14" t="inlineStr"/>
      <c r="Q9" s="14" t="inlineStr"/>
      <c r="R9" s="14">
        <f>IF(COUNTIF(Abstimmungen!$B$5:$B$2000,D9)-COUNTIFS(Abstimmungen!$B$5:$B$2000,D9,Abstimmungen!$D$5:$D$2000,"*berweisung*")&gt;0,1,0)</f>
        <v/>
      </c>
    </row>
    <row r="10">
      <c r="A10" s="13" t="n">
        <v>46239</v>
      </c>
      <c r="B10" s="14">
        <f>IF(A10="","",YEAR(A10))</f>
        <v/>
      </c>
      <c r="C10" s="14">
        <f>IF(A10="","",YEAR(A10)&amp;"-Q"&amp;ROUNDUP(MONTH(A10)/3,0))</f>
        <v/>
      </c>
      <c r="D10" s="14" t="inlineStr">
        <is>
          <t>21/7483</t>
        </is>
      </c>
      <c r="E10" s="14" t="inlineStr">
        <is>
          <t>Kleine Anfrage</t>
        </is>
      </c>
      <c r="F10" s="14" t="inlineStr">
        <is>
          <t>Gruene</t>
        </is>
      </c>
      <c r="G10" s="14" t="inlineStr">
        <is>
          <t>Opposition</t>
        </is>
      </c>
      <c r="H10" s="14" t="inlineStr">
        <is>
          <t>21</t>
        </is>
      </c>
      <c r="I10" s="14" t="inlineStr">
        <is>
          <t>Infrastruktur/Netz</t>
        </is>
      </c>
      <c r="J10" s="14" t="inlineStr"/>
      <c r="K10" s="15">
        <f>IF(OR(J10="",LEFT(E10,7)&lt;&gt;"Antwort"),"",IFERROR(A10-INDEX($A$2:$A$293,MATCH(J10,$D$2:$D$293,0)),""))</f>
        <v/>
      </c>
      <c r="L10" s="14">
        <f>IF(E10&lt;&gt;"Kleine Anfrage","",IFERROR(INDEX($D$2:$D$293,MATCH(D10,$J$2:$J$293,0)),"offen"))</f>
        <v/>
      </c>
      <c r="M10" s="14" t="inlineStr">
        <is>
          <t>Ersatz von Brücken auf der Bahnstrecke Köln-Siegen (Siegstrecke)</t>
        </is>
      </c>
      <c r="N10" s="14" t="inlineStr">
        <is>
          <t>Fraktion BÜNDNIS 90/DIE GRÜNEN</t>
        </is>
      </c>
      <c r="O10" s="16" t="inlineStr">
        <is>
          <t>PDF</t>
        </is>
      </c>
      <c r="P10" s="14" t="inlineStr"/>
      <c r="Q10" s="14" t="inlineStr"/>
      <c r="R10" s="14">
        <f>IF(COUNTIF(Abstimmungen!$B$5:$B$2000,D10)-COUNTIFS(Abstimmungen!$B$5:$B$2000,D10,Abstimmungen!$D$5:$D$2000,"*berweisung*")&gt;0,1,0)</f>
        <v/>
      </c>
    </row>
    <row r="11">
      <c r="A11" s="13" t="n">
        <v>46238</v>
      </c>
      <c r="B11" s="14">
        <f>IF(A11="","",YEAR(A11))</f>
        <v/>
      </c>
      <c r="C11" s="14">
        <f>IF(A11="","",YEAR(A11)&amp;"-Q"&amp;ROUNDUP(MONTH(A11)/3,0))</f>
        <v/>
      </c>
      <c r="D11" s="14" t="inlineStr">
        <is>
          <t>21/7468</t>
        </is>
      </c>
      <c r="E11" s="14" t="inlineStr">
        <is>
          <t>Kleine Anfrage</t>
        </is>
      </c>
      <c r="F11" s="14" t="inlineStr">
        <is>
          <t>Gruene</t>
        </is>
      </c>
      <c r="G11" s="14" t="inlineStr">
        <is>
          <t>Opposition</t>
        </is>
      </c>
      <c r="H11" s="14" t="inlineStr">
        <is>
          <t>21</t>
        </is>
      </c>
      <c r="I11" s="14" t="inlineStr">
        <is>
          <t>Bahnhoefe</t>
        </is>
      </c>
      <c r="J11" s="14" t="inlineStr"/>
      <c r="K11" s="15">
        <f>IF(OR(J11="",LEFT(E11,7)&lt;&gt;"Antwort"),"",IFERROR(A11-INDEX($A$2:$A$293,MATCH(J11,$D$2:$D$293,0)),""))</f>
        <v/>
      </c>
      <c r="L11" s="14">
        <f>IF(E11&lt;&gt;"Kleine Anfrage","",IFERROR(INDEX($D$2:$D$293,MATCH(D11,$J$2:$J$293,0)),"offen"))</f>
        <v/>
      </c>
      <c r="M11" s="14" t="inlineStr">
        <is>
          <t>Anbindung des zukünftigen Abstellbahnhofs Untertürkheim an den Bahnhof Stuttgart-Bad Cannstatt</t>
        </is>
      </c>
      <c r="N11" s="14" t="inlineStr">
        <is>
          <t>Fraktion BÜNDNIS 90/DIE GRÜNEN</t>
        </is>
      </c>
      <c r="O11" s="16" t="inlineStr">
        <is>
          <t>PDF</t>
        </is>
      </c>
      <c r="P11" s="14" t="inlineStr"/>
      <c r="Q11" s="14" t="inlineStr"/>
      <c r="R11" s="14">
        <f>IF(COUNTIF(Abstimmungen!$B$5:$B$2000,D11)-COUNTIFS(Abstimmungen!$B$5:$B$2000,D11,Abstimmungen!$D$5:$D$2000,"*berweisung*")&gt;0,1,0)</f>
        <v/>
      </c>
    </row>
    <row r="12">
      <c r="A12" s="13" t="n">
        <v>46225</v>
      </c>
      <c r="B12" s="14">
        <f>IF(A12="","",YEAR(A12))</f>
        <v/>
      </c>
      <c r="C12" s="14">
        <f>IF(A12="","",YEAR(A12)&amp;"-Q"&amp;ROUNDUP(MONTH(A12)/3,0))</f>
        <v/>
      </c>
      <c r="D12" s="14" t="inlineStr">
        <is>
          <t>21/7277</t>
        </is>
      </c>
      <c r="E12" s="14" t="inlineStr">
        <is>
          <t>Antwort</t>
        </is>
      </c>
      <c r="F12" s="14" t="inlineStr">
        <is>
          <t>Bundesregierung</t>
        </is>
      </c>
      <c r="G12" s="14" t="inlineStr">
        <is>
          <t>Regierung</t>
        </is>
      </c>
      <c r="H12" s="14" t="inlineStr">
        <is>
          <t>21</t>
        </is>
      </c>
      <c r="I12" s="14" t="inlineStr">
        <is>
          <t>Sicherheit</t>
        </is>
      </c>
      <c r="J12" s="14" t="inlineStr">
        <is>
          <t>21/6626</t>
        </is>
      </c>
      <c r="K12" s="15">
        <f>IF(OR(J12="",LEFT(E12,7)&lt;&gt;"Antwort"),"",IFERROR(A12-INDEX($A$2:$A$293,MATCH(J12,$D$2:$D$293,0)),""))</f>
        <v/>
      </c>
      <c r="L12" s="14">
        <f>IF(E12&lt;&gt;"Kleine Anfrage","",IFERROR(INDEX($D$2:$D$293,MATCH(D12,$J$2:$J$293,0)),"offen"))</f>
        <v/>
      </c>
      <c r="M12" s="14" t="inlineStr">
        <is>
          <t>Risse von Oberleitungen der Deutschen Bahn AG im Jahr 2026, Gefährdungen von Fahrgästen und Krisenmanagement</t>
        </is>
      </c>
      <c r="N12" s="14" t="inlineStr">
        <is>
          <t>Bundesregierung</t>
        </is>
      </c>
      <c r="O12" s="16" t="inlineStr">
        <is>
          <t>PDF</t>
        </is>
      </c>
      <c r="P12" s="14" t="inlineStr">
        <is>
          <t>AfD</t>
        </is>
      </c>
      <c r="Q12" s="14" t="inlineStr"/>
      <c r="R12" s="14">
        <f>IF(COUNTIF(Abstimmungen!$B$5:$B$2000,D12)-COUNTIFS(Abstimmungen!$B$5:$B$2000,D12,Abstimmungen!$D$5:$D$2000,"*berweisung*")&gt;0,1,0)</f>
        <v/>
      </c>
    </row>
    <row r="13">
      <c r="A13" s="13" t="n">
        <v>46210</v>
      </c>
      <c r="B13" s="14">
        <f>IF(A13="","",YEAR(A13))</f>
        <v/>
      </c>
      <c r="C13" s="14">
        <f>IF(A13="","",YEAR(A13)&amp;"-Q"&amp;ROUNDUP(MONTH(A13)/3,0))</f>
        <v/>
      </c>
      <c r="D13" s="14" t="inlineStr">
        <is>
          <t>21/6922</t>
        </is>
      </c>
      <c r="E13" s="14" t="inlineStr">
        <is>
          <t>Antrag</t>
        </is>
      </c>
      <c r="F13" s="14" t="inlineStr">
        <is>
          <t>Gruene</t>
        </is>
      </c>
      <c r="G13" s="14" t="inlineStr">
        <is>
          <t>Opposition</t>
        </is>
      </c>
      <c r="H13" s="14" t="inlineStr">
        <is>
          <t>21</t>
        </is>
      </c>
      <c r="I13" s="14" t="inlineStr">
        <is>
          <t>Infrastruktur/Netz; Konzernstruktur/DB AG</t>
        </is>
      </c>
      <c r="J13" s="14" t="inlineStr"/>
      <c r="K13" s="15">
        <f>IF(OR(J13="",LEFT(E13,7)&lt;&gt;"Antwort"),"",IFERROR(A13-INDEX($A$2:$A$293,MATCH(J13,$D$2:$D$293,0)),""))</f>
        <v/>
      </c>
      <c r="L13" s="14">
        <f>IF(E13&lt;&gt;"Kleine Anfrage","",IFERROR(INDEX($D$2:$D$293,MATCH(D13,$J$2:$J$293,0)),"offen"))</f>
        <v/>
      </c>
      <c r="M13" s="14" t="inlineStr">
        <is>
          <t>Stillstand in der Bahnpolitik überwinden - Strukturreformen umsetzen, Kapazitäten des Schienennetzes verstärken und ein gutes Fernverkehrsangebot sicherstellen</t>
        </is>
      </c>
      <c r="N13" s="14" t="inlineStr">
        <is>
          <t>Fraktion BÜNDNIS 90/DIE GRÜNEN</t>
        </is>
      </c>
      <c r="O13" s="16" t="inlineStr">
        <is>
          <t>PDF</t>
        </is>
      </c>
      <c r="P13" s="14" t="inlineStr"/>
      <c r="Q13" s="14" t="inlineStr"/>
      <c r="R13" s="14">
        <f>IF(COUNTIF(Abstimmungen!$B$5:$B$2000,D13)-COUNTIFS(Abstimmungen!$B$5:$B$2000,D13,Abstimmungen!$D$5:$D$2000,"*berweisung*")&gt;0,1,0)</f>
        <v/>
      </c>
    </row>
    <row r="14">
      <c r="A14" s="13" t="n">
        <v>46209</v>
      </c>
      <c r="B14" s="14">
        <f>IF(A14="","",YEAR(A14))</f>
        <v/>
      </c>
      <c r="C14" s="14">
        <f>IF(A14="","",YEAR(A14)&amp;"-Q"&amp;ROUNDUP(MONTH(A14)/3,0))</f>
        <v/>
      </c>
      <c r="D14" s="14" t="inlineStr">
        <is>
          <t>21/6880</t>
        </is>
      </c>
      <c r="E14" s="14" t="inlineStr">
        <is>
          <t>Beschlussempfehlung und Bericht</t>
        </is>
      </c>
      <c r="F14" s="14" t="inlineStr">
        <is>
          <t>Verkehrsausschuss</t>
        </is>
      </c>
      <c r="G14" s="14" t="inlineStr">
        <is>
          <t>Ausschuss</t>
        </is>
      </c>
      <c r="H14" s="14" t="inlineStr">
        <is>
          <t>21</t>
        </is>
      </c>
      <c r="I14" s="14" t="inlineStr">
        <is>
          <t>Konzernstruktur/DB AG</t>
        </is>
      </c>
      <c r="J14" s="14" t="inlineStr">
        <is>
          <t>21/6331</t>
        </is>
      </c>
      <c r="K14" s="15">
        <f>IF(OR(J14="",LEFT(E14,7)&lt;&gt;"Antwort"),"",IFERROR(A14-INDEX($A$2:$A$293,MATCH(J14,$D$2:$D$293,0)),""))</f>
        <v/>
      </c>
      <c r="L14" s="14">
        <f>IF(E14&lt;&gt;"Kleine Anfrage","",IFERROR(INDEX($D$2:$D$293,MATCH(D14,$J$2:$J$293,0)),"offen"))</f>
        <v/>
      </c>
      <c r="M14" s="14" t="inlineStr">
        <is>
          <t>Leistung erbringen, Neutralität wahren - Aufgabenfremde Maßnahmen wie die Regenbogenbeflaggung bei der Deutsche Bahn AG unterlassen</t>
        </is>
      </c>
      <c r="N14" s="14" t="inlineStr">
        <is>
          <t>Verkehrsausschuss</t>
        </is>
      </c>
      <c r="O14" s="16" t="inlineStr">
        <is>
          <t>PDF</t>
        </is>
      </c>
      <c r="P14" s="14" t="inlineStr"/>
      <c r="Q14" s="14" t="inlineStr"/>
      <c r="R14" s="14">
        <f>IF(COUNTIF(Abstimmungen!$B$5:$B$2000,D14)-COUNTIFS(Abstimmungen!$B$5:$B$2000,D14,Abstimmungen!$D$5:$D$2000,"*berweisung*")&gt;0,1,0)</f>
        <v/>
      </c>
    </row>
    <row r="15">
      <c r="A15" s="13" t="n">
        <v>46204</v>
      </c>
      <c r="B15" s="14">
        <f>IF(A15="","",YEAR(A15))</f>
        <v/>
      </c>
      <c r="C15" s="14">
        <f>IF(A15="","",YEAR(A15)&amp;"-Q"&amp;ROUNDUP(MONTH(A15)/3,0))</f>
        <v/>
      </c>
      <c r="D15" s="14" t="inlineStr">
        <is>
          <t>21/6812</t>
        </is>
      </c>
      <c r="E15" s="14" t="inlineStr">
        <is>
          <t>Antwort</t>
        </is>
      </c>
      <c r="F15" s="14" t="inlineStr">
        <is>
          <t>Bundesregierung</t>
        </is>
      </c>
      <c r="G15" s="14" t="inlineStr">
        <is>
          <t>Regierung</t>
        </is>
      </c>
      <c r="H15" s="14" t="inlineStr">
        <is>
          <t>21</t>
        </is>
      </c>
      <c r="I15" s="14" t="inlineStr">
        <is>
          <t>Infrastruktur/Netz</t>
        </is>
      </c>
      <c r="J15" s="14" t="inlineStr">
        <is>
          <t>21/6517</t>
        </is>
      </c>
      <c r="K15" s="15">
        <f>IF(OR(J15="",LEFT(E15,7)&lt;&gt;"Antwort"),"",IFERROR(A15-INDEX($A$2:$A$293,MATCH(J15,$D$2:$D$293,0)),""))</f>
        <v/>
      </c>
      <c r="L15" s="14">
        <f>IF(E15&lt;&gt;"Kleine Anfrage","",IFERROR(INDEX($D$2:$D$293,MATCH(D15,$J$2:$J$293,0)),"offen"))</f>
        <v/>
      </c>
      <c r="M15" s="14" t="inlineStr">
        <is>
          <t>Ausbau der Bahnstrecke Berlin-Dresden und mögliche Reduzierung auf 160 km/h</t>
        </is>
      </c>
      <c r="N15" s="14" t="inlineStr">
        <is>
          <t>Bundesregierung</t>
        </is>
      </c>
      <c r="O15" s="16" t="inlineStr">
        <is>
          <t>PDF</t>
        </is>
      </c>
      <c r="P15" s="14" t="inlineStr">
        <is>
          <t>Linke</t>
        </is>
      </c>
      <c r="Q15" s="14" t="inlineStr"/>
      <c r="R15" s="14">
        <f>IF(COUNTIF(Abstimmungen!$B$5:$B$2000,D15)-COUNTIFS(Abstimmungen!$B$5:$B$2000,D15,Abstimmungen!$D$5:$D$2000,"*berweisung*")&gt;0,1,0)</f>
        <v/>
      </c>
    </row>
    <row r="16">
      <c r="A16" s="13" t="n">
        <v>46197</v>
      </c>
      <c r="B16" s="14">
        <f>IF(A16="","",YEAR(A16))</f>
        <v/>
      </c>
      <c r="C16" s="14">
        <f>IF(A16="","",YEAR(A16)&amp;"-Q"&amp;ROUNDUP(MONTH(A16)/3,0))</f>
        <v/>
      </c>
      <c r="D16" s="14" t="inlineStr">
        <is>
          <t>21/6701</t>
        </is>
      </c>
      <c r="E16" s="14" t="inlineStr">
        <is>
          <t>Beschlussempfehlung und Bericht</t>
        </is>
      </c>
      <c r="F16" s="14" t="inlineStr">
        <is>
          <t>Verkehrsausschuss</t>
        </is>
      </c>
      <c r="G16" s="14" t="inlineStr">
        <is>
          <t>Ausschuss</t>
        </is>
      </c>
      <c r="H16" s="14" t="inlineStr">
        <is>
          <t>21</t>
        </is>
      </c>
      <c r="I16" s="14" t="inlineStr">
        <is>
          <t>Infrastruktur/Netz</t>
        </is>
      </c>
      <c r="J16" s="14" t="inlineStr">
        <is>
          <t>21/4099</t>
        </is>
      </c>
      <c r="K16" s="15">
        <f>IF(OR(J16="",LEFT(E16,7)&lt;&gt;"Antwort"),"",IFERROR(A16-INDEX($A$2:$A$293,MATCH(J16,$D$2:$D$293,0)),""))</f>
        <v/>
      </c>
      <c r="L16" s="14">
        <f>IF(E16&lt;&gt;"Kleine Anfrage","",IFERROR(INDEX($D$2:$D$293,MATCH(D16,$J$2:$J$293,0)),"offen"))</f>
        <v/>
      </c>
      <c r="M16" s="14" t="inlineStr">
        <is>
          <t>Entwurf eines Infrastruktur-Zukunftsgesetzes</t>
        </is>
      </c>
      <c r="N16" s="14" t="inlineStr">
        <is>
          <t>Verkehrsausschuss</t>
        </is>
      </c>
      <c r="O16" s="16" t="inlineStr">
        <is>
          <t>PDF</t>
        </is>
      </c>
      <c r="P16" s="14" t="inlineStr"/>
      <c r="Q16" s="14" t="inlineStr"/>
      <c r="R16" s="14">
        <f>IF(COUNTIF(Abstimmungen!$B$5:$B$2000,D16)-COUNTIFS(Abstimmungen!$B$5:$B$2000,D16,Abstimmungen!$D$5:$D$2000,"*berweisung*")&gt;0,1,0)</f>
        <v/>
      </c>
    </row>
    <row r="17">
      <c r="A17" s="13" t="n">
        <v>46197</v>
      </c>
      <c r="B17" s="14">
        <f>IF(A17="","",YEAR(A17))</f>
        <v/>
      </c>
      <c r="C17" s="14">
        <f>IF(A17="","",YEAR(A17)&amp;"-Q"&amp;ROUNDUP(MONTH(A17)/3,0))</f>
        <v/>
      </c>
      <c r="D17" s="14" t="inlineStr">
        <is>
          <t>21/6626</t>
        </is>
      </c>
      <c r="E17" s="14" t="inlineStr">
        <is>
          <t>Kleine Anfrage</t>
        </is>
      </c>
      <c r="F17" s="14" t="inlineStr">
        <is>
          <t>AfD</t>
        </is>
      </c>
      <c r="G17" s="14" t="inlineStr">
        <is>
          <t>Opposition</t>
        </is>
      </c>
      <c r="H17" s="14" t="inlineStr">
        <is>
          <t>21</t>
        </is>
      </c>
      <c r="I17" s="14" t="inlineStr">
        <is>
          <t>Sicherheit</t>
        </is>
      </c>
      <c r="J17" s="14" t="inlineStr"/>
      <c r="K17" s="15">
        <f>IF(OR(J17="",LEFT(E17,7)&lt;&gt;"Antwort"),"",IFERROR(A17-INDEX($A$2:$A$293,MATCH(J17,$D$2:$D$293,0)),""))</f>
        <v/>
      </c>
      <c r="L17" s="14">
        <f>IF(E17&lt;&gt;"Kleine Anfrage","",IFERROR(INDEX($D$2:$D$293,MATCH(D17,$J$2:$J$293,0)),"offen"))</f>
        <v/>
      </c>
      <c r="M17" s="14" t="inlineStr">
        <is>
          <t>Risse von Oberleitungen der Deutschen Bahn AG im Jahr 2026, Gefährdungen von Fahrgästen und Krisenmanagement</t>
        </is>
      </c>
      <c r="N17" s="14" t="inlineStr">
        <is>
          <t>Fraktion der AfD</t>
        </is>
      </c>
      <c r="O17" s="16" t="inlineStr">
        <is>
          <t>PDF</t>
        </is>
      </c>
      <c r="P17" s="14" t="inlineStr"/>
      <c r="Q17" s="14" t="inlineStr"/>
      <c r="R17" s="14">
        <f>IF(COUNTIF(Abstimmungen!$B$5:$B$2000,D17)-COUNTIFS(Abstimmungen!$B$5:$B$2000,D17,Abstimmungen!$D$5:$D$2000,"*berweisung*")&gt;0,1,0)</f>
        <v/>
      </c>
    </row>
    <row r="18">
      <c r="A18" s="13" t="n">
        <v>46195</v>
      </c>
      <c r="B18" s="14">
        <f>IF(A18="","",YEAR(A18))</f>
        <v/>
      </c>
      <c r="C18" s="14">
        <f>IF(A18="","",YEAR(A18)&amp;"-Q"&amp;ROUNDUP(MONTH(A18)/3,0))</f>
        <v/>
      </c>
      <c r="D18" s="14" t="inlineStr">
        <is>
          <t>21/6601</t>
        </is>
      </c>
      <c r="E18" s="14" t="inlineStr">
        <is>
          <t>Antwort</t>
        </is>
      </c>
      <c r="F18" s="14" t="inlineStr">
        <is>
          <t>Bundesregierung</t>
        </is>
      </c>
      <c r="G18" s="14" t="inlineStr">
        <is>
          <t>Regierung</t>
        </is>
      </c>
      <c r="H18" s="14" t="inlineStr">
        <is>
          <t>21</t>
        </is>
      </c>
      <c r="I18" s="14" t="inlineStr">
        <is>
          <t>Bahnhoefe; Kriminalitaet; Sicherheit</t>
        </is>
      </c>
      <c r="J18" s="14" t="inlineStr">
        <is>
          <t>21/6208</t>
        </is>
      </c>
      <c r="K18" s="15">
        <f>IF(OR(J18="",LEFT(E18,7)&lt;&gt;"Antwort"),"",IFERROR(A18-INDEX($A$2:$A$293,MATCH(J18,$D$2:$D$293,0)),""))</f>
        <v/>
      </c>
      <c r="L18" s="14">
        <f>IF(E18&lt;&gt;"Kleine Anfrage","",IFERROR(INDEX($D$2:$D$293,MATCH(D18,$J$2:$J$293,0)),"offen"))</f>
        <v/>
      </c>
      <c r="M18" s="14" t="inlineStr">
        <is>
          <t>Sicherheit an Bahnhöfen in Bayern - Entwicklung von Sachbeschädigungs-, Körperverletzungs-, Diebstahls- und Raubdelikten sowie Maßnahmen der Bundespolizei</t>
        </is>
      </c>
      <c r="N18" s="14" t="inlineStr">
        <is>
          <t>Bundesregierung</t>
        </is>
      </c>
      <c r="O18" s="16" t="inlineStr">
        <is>
          <t>PDF</t>
        </is>
      </c>
      <c r="P18" s="14" t="inlineStr">
        <is>
          <t>AfD</t>
        </is>
      </c>
      <c r="Q18" s="14" t="inlineStr"/>
      <c r="R18" s="14">
        <f>IF(COUNTIF(Abstimmungen!$B$5:$B$2000,D18)-COUNTIFS(Abstimmungen!$B$5:$B$2000,D18,Abstimmungen!$D$5:$D$2000,"*berweisung*")&gt;0,1,0)</f>
        <v/>
      </c>
    </row>
    <row r="19">
      <c r="A19" s="13" t="n">
        <v>46189</v>
      </c>
      <c r="B19" s="14">
        <f>IF(A19="","",YEAR(A19))</f>
        <v/>
      </c>
      <c r="C19" s="14">
        <f>IF(A19="","",YEAR(A19)&amp;"-Q"&amp;ROUNDUP(MONTH(A19)/3,0))</f>
        <v/>
      </c>
      <c r="D19" s="14" t="inlineStr">
        <is>
          <t>21/6517</t>
        </is>
      </c>
      <c r="E19" s="14" t="inlineStr">
        <is>
          <t>Kleine Anfrage</t>
        </is>
      </c>
      <c r="F19" s="14" t="inlineStr">
        <is>
          <t>Linke</t>
        </is>
      </c>
      <c r="G19" s="14" t="inlineStr">
        <is>
          <t>Opposition</t>
        </is>
      </c>
      <c r="H19" s="14" t="inlineStr">
        <is>
          <t>21</t>
        </is>
      </c>
      <c r="I19" s="14" t="inlineStr">
        <is>
          <t>Infrastruktur/Netz</t>
        </is>
      </c>
      <c r="J19" s="14" t="inlineStr"/>
      <c r="K19" s="15">
        <f>IF(OR(J19="",LEFT(E19,7)&lt;&gt;"Antwort"),"",IFERROR(A19-INDEX($A$2:$A$293,MATCH(J19,$D$2:$D$293,0)),""))</f>
        <v/>
      </c>
      <c r="L19" s="14">
        <f>IF(E19&lt;&gt;"Kleine Anfrage","",IFERROR(INDEX($D$2:$D$293,MATCH(D19,$J$2:$J$293,0)),"offen"))</f>
        <v/>
      </c>
      <c r="M19" s="14" t="inlineStr">
        <is>
          <t>Ausbau der Bahnstrecke Berlin-Dresden und mögliche Reduzierung auf 160 km/h</t>
        </is>
      </c>
      <c r="N19" s="14" t="inlineStr">
        <is>
          <t>Fraktion DIE LINKE</t>
        </is>
      </c>
      <c r="O19" s="16" t="inlineStr">
        <is>
          <t>PDF</t>
        </is>
      </c>
      <c r="P19" s="14" t="inlineStr"/>
      <c r="Q19" s="14" t="inlineStr"/>
      <c r="R19" s="14">
        <f>IF(COUNTIF(Abstimmungen!$B$5:$B$2000,D19)-COUNTIFS(Abstimmungen!$B$5:$B$2000,D19,Abstimmungen!$D$5:$D$2000,"*berweisung*")&gt;0,1,0)</f>
        <v/>
      </c>
    </row>
    <row r="20">
      <c r="A20" s="13" t="n">
        <v>46182</v>
      </c>
      <c r="B20" s="14">
        <f>IF(A20="","",YEAR(A20))</f>
        <v/>
      </c>
      <c r="C20" s="14">
        <f>IF(A20="","",YEAR(A20)&amp;"-Q"&amp;ROUNDUP(MONTH(A20)/3,0))</f>
        <v/>
      </c>
      <c r="D20" s="14" t="inlineStr">
        <is>
          <t>21/6331</t>
        </is>
      </c>
      <c r="E20" s="14" t="inlineStr">
        <is>
          <t>Antrag</t>
        </is>
      </c>
      <c r="F20" s="14" t="inlineStr">
        <is>
          <t>AfD</t>
        </is>
      </c>
      <c r="G20" s="14" t="inlineStr">
        <is>
          <t>Opposition</t>
        </is>
      </c>
      <c r="H20" s="14" t="inlineStr">
        <is>
          <t>21</t>
        </is>
      </c>
      <c r="I20" s="14" t="inlineStr">
        <is>
          <t>Konzernstruktur/DB AG</t>
        </is>
      </c>
      <c r="J20" s="14" t="inlineStr"/>
      <c r="K20" s="15">
        <f>IF(OR(J20="",LEFT(E20,7)&lt;&gt;"Antwort"),"",IFERROR(A20-INDEX($A$2:$A$293,MATCH(J20,$D$2:$D$293,0)),""))</f>
        <v/>
      </c>
      <c r="L20" s="14">
        <f>IF(E20&lt;&gt;"Kleine Anfrage","",IFERROR(INDEX($D$2:$D$293,MATCH(D20,$J$2:$J$293,0)),"offen"))</f>
        <v/>
      </c>
      <c r="M20" s="14" t="inlineStr">
        <is>
          <t>Leistung erbringen, Neutralität wahren - Aufgabenfremde Maßnahmen wie die Regenbogenbeflaggung bei der Deutsche Bahn AG unterlassen</t>
        </is>
      </c>
      <c r="N20" s="14" t="inlineStr">
        <is>
          <t>Fraktion der AfD</t>
        </is>
      </c>
      <c r="O20" s="16" t="inlineStr">
        <is>
          <t>PDF</t>
        </is>
      </c>
      <c r="P20" s="14" t="inlineStr"/>
      <c r="Q20" s="14" t="inlineStr"/>
      <c r="R20" s="14">
        <f>IF(COUNTIF(Abstimmungen!$B$5:$B$2000,D20)-COUNTIFS(Abstimmungen!$B$5:$B$2000,D20,Abstimmungen!$D$5:$D$2000,"*berweisung*")&gt;0,1,0)</f>
        <v/>
      </c>
    </row>
    <row r="21">
      <c r="A21" s="13" t="n">
        <v>46175</v>
      </c>
      <c r="B21" s="14">
        <f>IF(A21="","",YEAR(A21))</f>
        <v/>
      </c>
      <c r="C21" s="14">
        <f>IF(A21="","",YEAR(A21)&amp;"-Q"&amp;ROUNDUP(MONTH(A21)/3,0))</f>
        <v/>
      </c>
      <c r="D21" s="14" t="inlineStr">
        <is>
          <t>21/6208</t>
        </is>
      </c>
      <c r="E21" s="14" t="inlineStr">
        <is>
          <t>Kleine Anfrage</t>
        </is>
      </c>
      <c r="F21" s="14" t="inlineStr">
        <is>
          <t>AfD</t>
        </is>
      </c>
      <c r="G21" s="14" t="inlineStr">
        <is>
          <t>Opposition</t>
        </is>
      </c>
      <c r="H21" s="14" t="inlineStr">
        <is>
          <t>21</t>
        </is>
      </c>
      <c r="I21" s="14" t="inlineStr">
        <is>
          <t>Bahnhoefe; Kriminalitaet; Sicherheit</t>
        </is>
      </c>
      <c r="J21" s="14" t="inlineStr"/>
      <c r="K21" s="15">
        <f>IF(OR(J21="",LEFT(E21,7)&lt;&gt;"Antwort"),"",IFERROR(A21-INDEX($A$2:$A$293,MATCH(J21,$D$2:$D$293,0)),""))</f>
        <v/>
      </c>
      <c r="L21" s="14">
        <f>IF(E21&lt;&gt;"Kleine Anfrage","",IFERROR(INDEX($D$2:$D$293,MATCH(D21,$J$2:$J$293,0)),"offen"))</f>
        <v/>
      </c>
      <c r="M21" s="14" t="inlineStr">
        <is>
          <t>Sicherheit an Bahnhöfen in Bayern - Entwicklung von Sachbeschädigungs-, Körperverletzungs-, Diebstahls- und Raubdelikten sowie Maßnahmen der Bundespolizei</t>
        </is>
      </c>
      <c r="N21" s="14" t="inlineStr">
        <is>
          <t>Fraktion der AfD</t>
        </is>
      </c>
      <c r="O21" s="16" t="inlineStr">
        <is>
          <t>PDF</t>
        </is>
      </c>
      <c r="P21" s="14" t="inlineStr"/>
      <c r="Q21" s="14" t="inlineStr"/>
      <c r="R21" s="14">
        <f>IF(COUNTIF(Abstimmungen!$B$5:$B$2000,D21)-COUNTIFS(Abstimmungen!$B$5:$B$2000,D21,Abstimmungen!$D$5:$D$2000,"*berweisung*")&gt;0,1,0)</f>
        <v/>
      </c>
    </row>
    <row r="22">
      <c r="A22" s="13" t="n">
        <v>46168</v>
      </c>
      <c r="B22" s="14">
        <f>IF(A22="","",YEAR(A22))</f>
        <v/>
      </c>
      <c r="C22" s="14">
        <f>IF(A22="","",YEAR(A22)&amp;"-Q"&amp;ROUNDUP(MONTH(A22)/3,0))</f>
        <v/>
      </c>
      <c r="D22" s="14" t="inlineStr">
        <is>
          <t>21/6188</t>
        </is>
      </c>
      <c r="E22" s="14" t="inlineStr">
        <is>
          <t>Antwort</t>
        </is>
      </c>
      <c r="F22" s="14" t="inlineStr">
        <is>
          <t>Bundesregierung</t>
        </is>
      </c>
      <c r="G22" s="14" t="inlineStr">
        <is>
          <t>Regierung</t>
        </is>
      </c>
      <c r="H22" s="14" t="inlineStr">
        <is>
          <t>21</t>
        </is>
      </c>
      <c r="I22" s="14" t="inlineStr">
        <is>
          <t>Bahnhoefe; Kriminalitaet</t>
        </is>
      </c>
      <c r="J22" s="14" t="inlineStr">
        <is>
          <t>21/5940</t>
        </is>
      </c>
      <c r="K22" s="15">
        <f>IF(OR(J22="",LEFT(E22,7)&lt;&gt;"Antwort"),"",IFERROR(A22-INDEX($A$2:$A$293,MATCH(J22,$D$2:$D$293,0)),""))</f>
        <v/>
      </c>
      <c r="L22" s="14">
        <f>IF(E22&lt;&gt;"Kleine Anfrage","",IFERROR(INDEX($D$2:$D$293,MATCH(D22,$J$2:$J$293,0)),"offen"))</f>
        <v/>
      </c>
      <c r="M22" s="14" t="inlineStr">
        <is>
          <t>Entwicklung der Kriminalität im Bereich des Bahnhofs der Stadt Detmold im Jahr 2025</t>
        </is>
      </c>
      <c r="N22" s="14" t="inlineStr">
        <is>
          <t>Bundesregierung</t>
        </is>
      </c>
      <c r="O22" s="16" t="inlineStr">
        <is>
          <t>PDF</t>
        </is>
      </c>
      <c r="P22" s="14" t="inlineStr">
        <is>
          <t>AfD</t>
        </is>
      </c>
      <c r="Q22" s="14" t="inlineStr"/>
      <c r="R22" s="14">
        <f>IF(COUNTIF(Abstimmungen!$B$5:$B$2000,D22)-COUNTIFS(Abstimmungen!$B$5:$B$2000,D22,Abstimmungen!$D$5:$D$2000,"*berweisung*")&gt;0,1,0)</f>
        <v/>
      </c>
    </row>
    <row r="23">
      <c r="A23" s="13" t="n">
        <v>46168</v>
      </c>
      <c r="B23" s="14">
        <f>IF(A23="","",YEAR(A23))</f>
        <v/>
      </c>
      <c r="C23" s="14">
        <f>IF(A23="","",YEAR(A23)&amp;"-Q"&amp;ROUNDUP(MONTH(A23)/3,0))</f>
        <v/>
      </c>
      <c r="D23" s="14" t="inlineStr">
        <is>
          <t>21/6187</t>
        </is>
      </c>
      <c r="E23" s="14" t="inlineStr">
        <is>
          <t>Antwort</t>
        </is>
      </c>
      <c r="F23" s="14" t="inlineStr">
        <is>
          <t>Bundesregierung</t>
        </is>
      </c>
      <c r="G23" s="14" t="inlineStr">
        <is>
          <t>Regierung</t>
        </is>
      </c>
      <c r="H23" s="14" t="inlineStr">
        <is>
          <t>21</t>
        </is>
      </c>
      <c r="I23" s="14" t="inlineStr">
        <is>
          <t>Bahnhoefe; Kriminalitaet</t>
        </is>
      </c>
      <c r="J23" s="14" t="inlineStr">
        <is>
          <t>21/5938</t>
        </is>
      </c>
      <c r="K23" s="15">
        <f>IF(OR(J23="",LEFT(E23,7)&lt;&gt;"Antwort"),"",IFERROR(A23-INDEX($A$2:$A$293,MATCH(J23,$D$2:$D$293,0)),""))</f>
        <v/>
      </c>
      <c r="L23" s="14">
        <f>IF(E23&lt;&gt;"Kleine Anfrage","",IFERROR(INDEX($D$2:$D$293,MATCH(D23,$J$2:$J$293,0)),"offen"))</f>
        <v/>
      </c>
      <c r="M23" s="14" t="inlineStr">
        <is>
          <t>Entwicklung der Kriminalität im Bereich des Bahnhofs der Stadt Herford im Jahr 2025</t>
        </is>
      </c>
      <c r="N23" s="14" t="inlineStr">
        <is>
          <t>Bundesregierung</t>
        </is>
      </c>
      <c r="O23" s="16" t="inlineStr">
        <is>
          <t>PDF</t>
        </is>
      </c>
      <c r="P23" s="14" t="inlineStr">
        <is>
          <t>AfD</t>
        </is>
      </c>
      <c r="Q23" s="14" t="inlineStr"/>
      <c r="R23" s="14">
        <f>IF(COUNTIF(Abstimmungen!$B$5:$B$2000,D23)-COUNTIFS(Abstimmungen!$B$5:$B$2000,D23,Abstimmungen!$D$5:$D$2000,"*berweisung*")&gt;0,1,0)</f>
        <v/>
      </c>
    </row>
    <row r="24">
      <c r="A24" s="13" t="n">
        <v>46168</v>
      </c>
      <c r="B24" s="14">
        <f>IF(A24="","",YEAR(A24))</f>
        <v/>
      </c>
      <c r="C24" s="14">
        <f>IF(A24="","",YEAR(A24)&amp;"-Q"&amp;ROUNDUP(MONTH(A24)/3,0))</f>
        <v/>
      </c>
      <c r="D24" s="14" t="inlineStr">
        <is>
          <t>21/6186</t>
        </is>
      </c>
      <c r="E24" s="14" t="inlineStr">
        <is>
          <t>Antwort</t>
        </is>
      </c>
      <c r="F24" s="14" t="inlineStr">
        <is>
          <t>Bundesregierung</t>
        </is>
      </c>
      <c r="G24" s="14" t="inlineStr">
        <is>
          <t>Regierung</t>
        </is>
      </c>
      <c r="H24" s="14" t="inlineStr">
        <is>
          <t>21</t>
        </is>
      </c>
      <c r="I24" s="14" t="inlineStr">
        <is>
          <t>Bahnhoefe; Kriminalitaet</t>
        </is>
      </c>
      <c r="J24" s="14" t="inlineStr">
        <is>
          <t>21/5941</t>
        </is>
      </c>
      <c r="K24" s="15">
        <f>IF(OR(J24="",LEFT(E24,7)&lt;&gt;"Antwort"),"",IFERROR(A24-INDEX($A$2:$A$293,MATCH(J24,$D$2:$D$293,0)),""))</f>
        <v/>
      </c>
      <c r="L24" s="14">
        <f>IF(E24&lt;&gt;"Kleine Anfrage","",IFERROR(INDEX($D$2:$D$293,MATCH(D24,$J$2:$J$293,0)),"offen"))</f>
        <v/>
      </c>
      <c r="M24" s="14" t="inlineStr">
        <is>
          <t>Entwicklung der Kriminalität im Bereich des Bahnhofs der Stadt Lage im Jahr 2025</t>
        </is>
      </c>
      <c r="N24" s="14" t="inlineStr">
        <is>
          <t>Bundesregierung</t>
        </is>
      </c>
      <c r="O24" s="16" t="inlineStr">
        <is>
          <t>PDF</t>
        </is>
      </c>
      <c r="P24" s="14" t="inlineStr">
        <is>
          <t>AfD</t>
        </is>
      </c>
      <c r="Q24" s="14" t="inlineStr"/>
      <c r="R24" s="14">
        <f>IF(COUNTIF(Abstimmungen!$B$5:$B$2000,D24)-COUNTIFS(Abstimmungen!$B$5:$B$2000,D24,Abstimmungen!$D$5:$D$2000,"*berweisung*")&gt;0,1,0)</f>
        <v/>
      </c>
    </row>
    <row r="25">
      <c r="A25" s="13" t="n">
        <v>46168</v>
      </c>
      <c r="B25" s="14">
        <f>IF(A25="","",YEAR(A25))</f>
        <v/>
      </c>
      <c r="C25" s="14">
        <f>IF(A25="","",YEAR(A25)&amp;"-Q"&amp;ROUNDUP(MONTH(A25)/3,0))</f>
        <v/>
      </c>
      <c r="D25" s="14" t="inlineStr">
        <is>
          <t>21/6185</t>
        </is>
      </c>
      <c r="E25" s="14" t="inlineStr">
        <is>
          <t>Antwort</t>
        </is>
      </c>
      <c r="F25" s="14" t="inlineStr">
        <is>
          <t>Bundesregierung</t>
        </is>
      </c>
      <c r="G25" s="14" t="inlineStr">
        <is>
          <t>Regierung</t>
        </is>
      </c>
      <c r="H25" s="14" t="inlineStr">
        <is>
          <t>21</t>
        </is>
      </c>
      <c r="I25" s="14" t="inlineStr">
        <is>
          <t>Bahnhoefe; Kriminalitaet</t>
        </is>
      </c>
      <c r="J25" s="14" t="inlineStr">
        <is>
          <t>21/5943</t>
        </is>
      </c>
      <c r="K25" s="15">
        <f>IF(OR(J25="",LEFT(E25,7)&lt;&gt;"Antwort"),"",IFERROR(A25-INDEX($A$2:$A$293,MATCH(J25,$D$2:$D$293,0)),""))</f>
        <v/>
      </c>
      <c r="L25" s="14">
        <f>IF(E25&lt;&gt;"Kleine Anfrage","",IFERROR(INDEX($D$2:$D$293,MATCH(D25,$J$2:$J$293,0)),"offen"))</f>
        <v/>
      </c>
      <c r="M25" s="14" t="inlineStr">
        <is>
          <t>Entwicklung der Kriminalität im Bereich des Bahnhofs der Stadt Löhne im Jahr 2025</t>
        </is>
      </c>
      <c r="N25" s="14" t="inlineStr">
        <is>
          <t>Bundesregierung</t>
        </is>
      </c>
      <c r="O25" s="16" t="inlineStr">
        <is>
          <t>PDF</t>
        </is>
      </c>
      <c r="P25" s="14" t="inlineStr">
        <is>
          <t>AfD</t>
        </is>
      </c>
      <c r="Q25" s="14" t="inlineStr"/>
      <c r="R25" s="14">
        <f>IF(COUNTIF(Abstimmungen!$B$5:$B$2000,D25)-COUNTIFS(Abstimmungen!$B$5:$B$2000,D25,Abstimmungen!$D$5:$D$2000,"*berweisung*")&gt;0,1,0)</f>
        <v/>
      </c>
    </row>
    <row r="26">
      <c r="A26" s="13" t="n">
        <v>46168</v>
      </c>
      <c r="B26" s="14">
        <f>IF(A26="","",YEAR(A26))</f>
        <v/>
      </c>
      <c r="C26" s="14">
        <f>IF(A26="","",YEAR(A26)&amp;"-Q"&amp;ROUNDUP(MONTH(A26)/3,0))</f>
        <v/>
      </c>
      <c r="D26" s="14" t="inlineStr">
        <is>
          <t>21/6184</t>
        </is>
      </c>
      <c r="E26" s="14" t="inlineStr">
        <is>
          <t>Antwort</t>
        </is>
      </c>
      <c r="F26" s="14" t="inlineStr">
        <is>
          <t>Bundesregierung</t>
        </is>
      </c>
      <c r="G26" s="14" t="inlineStr">
        <is>
          <t>Regierung</t>
        </is>
      </c>
      <c r="H26" s="14" t="inlineStr">
        <is>
          <t>21</t>
        </is>
      </c>
      <c r="I26" s="14" t="inlineStr">
        <is>
          <t>Bahnhoefe; Kriminalitaet</t>
        </is>
      </c>
      <c r="J26" s="14" t="inlineStr">
        <is>
          <t>21/5949</t>
        </is>
      </c>
      <c r="K26" s="15">
        <f>IF(OR(J26="",LEFT(E26,7)&lt;&gt;"Antwort"),"",IFERROR(A26-INDEX($A$2:$A$293,MATCH(J26,$D$2:$D$293,0)),""))</f>
        <v/>
      </c>
      <c r="L26" s="14">
        <f>IF(E26&lt;&gt;"Kleine Anfrage","",IFERROR(INDEX($D$2:$D$293,MATCH(D26,$J$2:$J$293,0)),"offen"))</f>
        <v/>
      </c>
      <c r="M26" s="14" t="inlineStr">
        <is>
          <t>Entwicklung der Kriminalität im Bereich des Bahnhofs der Stadt Bünde im Jahr 2025</t>
        </is>
      </c>
      <c r="N26" s="14" t="inlineStr">
        <is>
          <t>Bundesregierung</t>
        </is>
      </c>
      <c r="O26" s="16" t="inlineStr">
        <is>
          <t>PDF</t>
        </is>
      </c>
      <c r="P26" s="14" t="inlineStr">
        <is>
          <t>AfD</t>
        </is>
      </c>
      <c r="Q26" s="14" t="inlineStr"/>
      <c r="R26" s="14">
        <f>IF(COUNTIF(Abstimmungen!$B$5:$B$2000,D26)-COUNTIFS(Abstimmungen!$B$5:$B$2000,D26,Abstimmungen!$D$5:$D$2000,"*berweisung*")&gt;0,1,0)</f>
        <v/>
      </c>
    </row>
    <row r="27">
      <c r="A27" s="13" t="n">
        <v>46168</v>
      </c>
      <c r="B27" s="14">
        <f>IF(A27="","",YEAR(A27))</f>
        <v/>
      </c>
      <c r="C27" s="14">
        <f>IF(A27="","",YEAR(A27)&amp;"-Q"&amp;ROUNDUP(MONTH(A27)/3,0))</f>
        <v/>
      </c>
      <c r="D27" s="14" t="inlineStr">
        <is>
          <t>21/6157</t>
        </is>
      </c>
      <c r="E27" s="14" t="inlineStr">
        <is>
          <t>Antwort</t>
        </is>
      </c>
      <c r="F27" s="14" t="inlineStr">
        <is>
          <t>Bundesregierung</t>
        </is>
      </c>
      <c r="G27" s="14" t="inlineStr">
        <is>
          <t>Regierung</t>
        </is>
      </c>
      <c r="H27" s="14" t="inlineStr">
        <is>
          <t>21</t>
        </is>
      </c>
      <c r="I27" s="14" t="inlineStr">
        <is>
          <t>Bahnhoefe; Kriminalitaet</t>
        </is>
      </c>
      <c r="J27" s="14" t="inlineStr">
        <is>
          <t>21/5945</t>
        </is>
      </c>
      <c r="K27" s="15">
        <f>IF(OR(J27="",LEFT(E27,7)&lt;&gt;"Antwort"),"",IFERROR(A27-INDEX($A$2:$A$293,MATCH(J27,$D$2:$D$293,0)),""))</f>
        <v/>
      </c>
      <c r="L27" s="14">
        <f>IF(E27&lt;&gt;"Kleine Anfrage","",IFERROR(INDEX($D$2:$D$293,MATCH(D27,$J$2:$J$293,0)),"offen"))</f>
        <v/>
      </c>
      <c r="M27" s="14" t="inlineStr">
        <is>
          <t>Entwicklung der Kriminalität im Bereich des Bahnhofs der Stadt Warburg im Jahr 2025</t>
        </is>
      </c>
      <c r="N27" s="14" t="inlineStr">
        <is>
          <t>Bundesregierung</t>
        </is>
      </c>
      <c r="O27" s="16" t="inlineStr">
        <is>
          <t>PDF</t>
        </is>
      </c>
      <c r="P27" s="14" t="inlineStr">
        <is>
          <t>AfD</t>
        </is>
      </c>
      <c r="Q27" s="14" t="inlineStr"/>
      <c r="R27" s="14">
        <f>IF(COUNTIF(Abstimmungen!$B$5:$B$2000,D27)-COUNTIFS(Abstimmungen!$B$5:$B$2000,D27,Abstimmungen!$D$5:$D$2000,"*berweisung*")&gt;0,1,0)</f>
        <v/>
      </c>
    </row>
    <row r="28">
      <c r="A28" s="13" t="n">
        <v>46168</v>
      </c>
      <c r="B28" s="14">
        <f>IF(A28="","",YEAR(A28))</f>
        <v/>
      </c>
      <c r="C28" s="14">
        <f>IF(A28="","",YEAR(A28)&amp;"-Q"&amp;ROUNDUP(MONTH(A28)/3,0))</f>
        <v/>
      </c>
      <c r="D28" s="14" t="inlineStr">
        <is>
          <t>21/6156</t>
        </is>
      </c>
      <c r="E28" s="14" t="inlineStr">
        <is>
          <t>Antwort</t>
        </is>
      </c>
      <c r="F28" s="14" t="inlineStr">
        <is>
          <t>Bundesregierung</t>
        </is>
      </c>
      <c r="G28" s="14" t="inlineStr">
        <is>
          <t>Regierung</t>
        </is>
      </c>
      <c r="H28" s="14" t="inlineStr">
        <is>
          <t>21</t>
        </is>
      </c>
      <c r="I28" s="14" t="inlineStr">
        <is>
          <t>Bahnhoefe; Kriminalitaet</t>
        </is>
      </c>
      <c r="J28" s="14" t="inlineStr">
        <is>
          <t>21/5947</t>
        </is>
      </c>
      <c r="K28" s="15">
        <f>IF(OR(J28="",LEFT(E28,7)&lt;&gt;"Antwort"),"",IFERROR(A28-INDEX($A$2:$A$293,MATCH(J28,$D$2:$D$293,0)),""))</f>
        <v/>
      </c>
      <c r="L28" s="14">
        <f>IF(E28&lt;&gt;"Kleine Anfrage","",IFERROR(INDEX($D$2:$D$293,MATCH(D28,$J$2:$J$293,0)),"offen"))</f>
        <v/>
      </c>
      <c r="M28" s="14" t="inlineStr">
        <is>
          <t>Entwicklung der Kriminalität im Bereich des Bahnhofs der Stadt Bad Oeynhausen im Jahr 2025</t>
        </is>
      </c>
      <c r="N28" s="14" t="inlineStr">
        <is>
          <t>Bundesregierung</t>
        </is>
      </c>
      <c r="O28" s="16" t="inlineStr">
        <is>
          <t>PDF</t>
        </is>
      </c>
      <c r="P28" s="14" t="inlineStr">
        <is>
          <t>AfD</t>
        </is>
      </c>
      <c r="Q28" s="14" t="inlineStr"/>
      <c r="R28" s="14">
        <f>IF(COUNTIF(Abstimmungen!$B$5:$B$2000,D28)-COUNTIFS(Abstimmungen!$B$5:$B$2000,D28,Abstimmungen!$D$5:$D$2000,"*berweisung*")&gt;0,1,0)</f>
        <v/>
      </c>
    </row>
    <row r="29">
      <c r="A29" s="13" t="n">
        <v>46163</v>
      </c>
      <c r="B29" s="14">
        <f>IF(A29="","",YEAR(A29))</f>
        <v/>
      </c>
      <c r="C29" s="14">
        <f>IF(A29="","",YEAR(A29)&amp;"-Q"&amp;ROUNDUP(MONTH(A29)/3,0))</f>
        <v/>
      </c>
      <c r="D29" s="14" t="inlineStr">
        <is>
          <t>21/6096</t>
        </is>
      </c>
      <c r="E29" s="14" t="inlineStr">
        <is>
          <t>Antwort</t>
        </is>
      </c>
      <c r="F29" s="14" t="inlineStr">
        <is>
          <t>Bundesregierung</t>
        </is>
      </c>
      <c r="G29" s="14" t="inlineStr">
        <is>
          <t>Regierung</t>
        </is>
      </c>
      <c r="H29" s="14" t="inlineStr">
        <is>
          <t>21</t>
        </is>
      </c>
      <c r="I29" s="14" t="inlineStr">
        <is>
          <t>Infrastruktur/Netz</t>
        </is>
      </c>
      <c r="J29" s="14" t="inlineStr">
        <is>
          <t>21/5610</t>
        </is>
      </c>
      <c r="K29" s="15">
        <f>IF(OR(J29="",LEFT(E29,7)&lt;&gt;"Antwort"),"",IFERROR(A29-INDEX($A$2:$A$293,MATCH(J29,$D$2:$D$293,0)),""))</f>
        <v/>
      </c>
      <c r="L29" s="14">
        <f>IF(E29&lt;&gt;"Kleine Anfrage","",IFERROR(INDEX($D$2:$D$293,MATCH(D29,$J$2:$J$293,0)),"offen"))</f>
        <v/>
      </c>
      <c r="M29" s="14" t="inlineStr">
        <is>
          <t>Infrastrukturzustandsnoten Schieneninfrastruktur in Berlin</t>
        </is>
      </c>
      <c r="N29" s="14" t="inlineStr">
        <is>
          <t>Bundesregierung</t>
        </is>
      </c>
      <c r="O29" s="16" t="inlineStr">
        <is>
          <t>PDF</t>
        </is>
      </c>
      <c r="P29" s="14" t="inlineStr">
        <is>
          <t>Gruene</t>
        </is>
      </c>
      <c r="Q29" s="14" t="inlineStr"/>
      <c r="R29" s="14">
        <f>IF(COUNTIF(Abstimmungen!$B$5:$B$2000,D29)-COUNTIFS(Abstimmungen!$B$5:$B$2000,D29,Abstimmungen!$D$5:$D$2000,"*berweisung*")&gt;0,1,0)</f>
        <v/>
      </c>
    </row>
    <row r="30">
      <c r="A30" s="13" t="n">
        <v>46157</v>
      </c>
      <c r="B30" s="14">
        <f>IF(A30="","",YEAR(A30))</f>
        <v/>
      </c>
      <c r="C30" s="14">
        <f>IF(A30="","",YEAR(A30)&amp;"-Q"&amp;ROUNDUP(MONTH(A30)/3,0))</f>
        <v/>
      </c>
      <c r="D30" s="14" t="inlineStr">
        <is>
          <t>21/5949</t>
        </is>
      </c>
      <c r="E30" s="14" t="inlineStr">
        <is>
          <t>Kleine Anfrage</t>
        </is>
      </c>
      <c r="F30" s="14" t="inlineStr">
        <is>
          <t>AfD</t>
        </is>
      </c>
      <c r="G30" s="14" t="inlineStr">
        <is>
          <t>Opposition</t>
        </is>
      </c>
      <c r="H30" s="14" t="inlineStr">
        <is>
          <t>21</t>
        </is>
      </c>
      <c r="I30" s="14" t="inlineStr">
        <is>
          <t>Bahnhoefe; Kriminalitaet</t>
        </is>
      </c>
      <c r="J30" s="14" t="inlineStr"/>
      <c r="K30" s="15">
        <f>IF(OR(J30="",LEFT(E30,7)&lt;&gt;"Antwort"),"",IFERROR(A30-INDEX($A$2:$A$293,MATCH(J30,$D$2:$D$293,0)),""))</f>
        <v/>
      </c>
      <c r="L30" s="14">
        <f>IF(E30&lt;&gt;"Kleine Anfrage","",IFERROR(INDEX($D$2:$D$293,MATCH(D30,$J$2:$J$293,0)),"offen"))</f>
        <v/>
      </c>
      <c r="M30" s="14" t="inlineStr">
        <is>
          <t>Entwicklung der Kriminalität im Bereich des Bahnhofs der Stadt Bünde im Jahr 2025</t>
        </is>
      </c>
      <c r="N30" s="14" t="inlineStr">
        <is>
          <t>Fraktion der AfD</t>
        </is>
      </c>
      <c r="O30" s="16" t="inlineStr">
        <is>
          <t>PDF</t>
        </is>
      </c>
      <c r="P30" s="14" t="inlineStr"/>
      <c r="Q30" s="14" t="inlineStr">
        <is>
          <t>Entwicklung / Kriminalität</t>
        </is>
      </c>
      <c r="R30" s="14">
        <f>IF(COUNTIF(Abstimmungen!$B$5:$B$2000,D30)-COUNTIFS(Abstimmungen!$B$5:$B$2000,D30,Abstimmungen!$D$5:$D$2000,"*berweisung*")&gt;0,1,0)</f>
        <v/>
      </c>
    </row>
    <row r="31">
      <c r="A31" s="13" t="n">
        <v>46157</v>
      </c>
      <c r="B31" s="14">
        <f>IF(A31="","",YEAR(A31))</f>
        <v/>
      </c>
      <c r="C31" s="14">
        <f>IF(A31="","",YEAR(A31)&amp;"-Q"&amp;ROUNDUP(MONTH(A31)/3,0))</f>
        <v/>
      </c>
      <c r="D31" s="14" t="inlineStr">
        <is>
          <t>21/5947</t>
        </is>
      </c>
      <c r="E31" s="14" t="inlineStr">
        <is>
          <t>Kleine Anfrage</t>
        </is>
      </c>
      <c r="F31" s="14" t="inlineStr">
        <is>
          <t>AfD</t>
        </is>
      </c>
      <c r="G31" s="14" t="inlineStr">
        <is>
          <t>Opposition</t>
        </is>
      </c>
      <c r="H31" s="14" t="inlineStr">
        <is>
          <t>21</t>
        </is>
      </c>
      <c r="I31" s="14" t="inlineStr">
        <is>
          <t>Bahnhoefe; Kriminalitaet</t>
        </is>
      </c>
      <c r="J31" s="14" t="inlineStr"/>
      <c r="K31" s="15">
        <f>IF(OR(J31="",LEFT(E31,7)&lt;&gt;"Antwort"),"",IFERROR(A31-INDEX($A$2:$A$293,MATCH(J31,$D$2:$D$293,0)),""))</f>
        <v/>
      </c>
      <c r="L31" s="14">
        <f>IF(E31&lt;&gt;"Kleine Anfrage","",IFERROR(INDEX($D$2:$D$293,MATCH(D31,$J$2:$J$293,0)),"offen"))</f>
        <v/>
      </c>
      <c r="M31" s="14" t="inlineStr">
        <is>
          <t>Entwicklung der Kriminalität im Bereich des Bahnhofs der Stadt Bad Oeynhausen im Jahr 2025</t>
        </is>
      </c>
      <c r="N31" s="14" t="inlineStr">
        <is>
          <t>Fraktion der AfD</t>
        </is>
      </c>
      <c r="O31" s="16" t="inlineStr">
        <is>
          <t>PDF</t>
        </is>
      </c>
      <c r="P31" s="14" t="inlineStr"/>
      <c r="Q31" s="14" t="inlineStr">
        <is>
          <t>Entwicklung / Kriminalität</t>
        </is>
      </c>
      <c r="R31" s="14">
        <f>IF(COUNTIF(Abstimmungen!$B$5:$B$2000,D31)-COUNTIFS(Abstimmungen!$B$5:$B$2000,D31,Abstimmungen!$D$5:$D$2000,"*berweisung*")&gt;0,1,0)</f>
        <v/>
      </c>
    </row>
    <row r="32">
      <c r="A32" s="13" t="n">
        <v>46157</v>
      </c>
      <c r="B32" s="14">
        <f>IF(A32="","",YEAR(A32))</f>
        <v/>
      </c>
      <c r="C32" s="14">
        <f>IF(A32="","",YEAR(A32)&amp;"-Q"&amp;ROUNDUP(MONTH(A32)/3,0))</f>
        <v/>
      </c>
      <c r="D32" s="14" t="inlineStr">
        <is>
          <t>21/5945</t>
        </is>
      </c>
      <c r="E32" s="14" t="inlineStr">
        <is>
          <t>Kleine Anfrage</t>
        </is>
      </c>
      <c r="F32" s="14" t="inlineStr">
        <is>
          <t>AfD</t>
        </is>
      </c>
      <c r="G32" s="14" t="inlineStr">
        <is>
          <t>Opposition</t>
        </is>
      </c>
      <c r="H32" s="14" t="inlineStr">
        <is>
          <t>21</t>
        </is>
      </c>
      <c r="I32" s="14" t="inlineStr">
        <is>
          <t>Bahnhoefe; Kriminalitaet</t>
        </is>
      </c>
      <c r="J32" s="14" t="inlineStr"/>
      <c r="K32" s="15">
        <f>IF(OR(J32="",LEFT(E32,7)&lt;&gt;"Antwort"),"",IFERROR(A32-INDEX($A$2:$A$293,MATCH(J32,$D$2:$D$293,0)),""))</f>
        <v/>
      </c>
      <c r="L32" s="14">
        <f>IF(E32&lt;&gt;"Kleine Anfrage","",IFERROR(INDEX($D$2:$D$293,MATCH(D32,$J$2:$J$293,0)),"offen"))</f>
        <v/>
      </c>
      <c r="M32" s="14" t="inlineStr">
        <is>
          <t>Entwicklung der Kriminalität im Bereich des Bahnhofs der Stadt Warburg im Jahr 2025</t>
        </is>
      </c>
      <c r="N32" s="14" t="inlineStr">
        <is>
          <t>Fraktion der AfD</t>
        </is>
      </c>
      <c r="O32" s="16" t="inlineStr">
        <is>
          <t>PDF</t>
        </is>
      </c>
      <c r="P32" s="14" t="inlineStr"/>
      <c r="Q32" s="14" t="inlineStr">
        <is>
          <t>Entwicklung / Kriminalität</t>
        </is>
      </c>
      <c r="R32" s="14">
        <f>IF(COUNTIF(Abstimmungen!$B$5:$B$2000,D32)-COUNTIFS(Abstimmungen!$B$5:$B$2000,D32,Abstimmungen!$D$5:$D$2000,"*berweisung*")&gt;0,1,0)</f>
        <v/>
      </c>
    </row>
    <row r="33">
      <c r="A33" s="13" t="n">
        <v>46157</v>
      </c>
      <c r="B33" s="14">
        <f>IF(A33="","",YEAR(A33))</f>
        <v/>
      </c>
      <c r="C33" s="14">
        <f>IF(A33="","",YEAR(A33)&amp;"-Q"&amp;ROUNDUP(MONTH(A33)/3,0))</f>
        <v/>
      </c>
      <c r="D33" s="14" t="inlineStr">
        <is>
          <t>21/5943</t>
        </is>
      </c>
      <c r="E33" s="14" t="inlineStr">
        <is>
          <t>Kleine Anfrage</t>
        </is>
      </c>
      <c r="F33" s="14" t="inlineStr">
        <is>
          <t>AfD</t>
        </is>
      </c>
      <c r="G33" s="14" t="inlineStr">
        <is>
          <t>Opposition</t>
        </is>
      </c>
      <c r="H33" s="14" t="inlineStr">
        <is>
          <t>21</t>
        </is>
      </c>
      <c r="I33" s="14" t="inlineStr">
        <is>
          <t>Bahnhoefe; Kriminalitaet</t>
        </is>
      </c>
      <c r="J33" s="14" t="inlineStr"/>
      <c r="K33" s="15">
        <f>IF(OR(J33="",LEFT(E33,7)&lt;&gt;"Antwort"),"",IFERROR(A33-INDEX($A$2:$A$293,MATCH(J33,$D$2:$D$293,0)),""))</f>
        <v/>
      </c>
      <c r="L33" s="14">
        <f>IF(E33&lt;&gt;"Kleine Anfrage","",IFERROR(INDEX($D$2:$D$293,MATCH(D33,$J$2:$J$293,0)),"offen"))</f>
        <v/>
      </c>
      <c r="M33" s="14" t="inlineStr">
        <is>
          <t>Entwicklung der Kriminalität im Bereich des Bahnhofs der Stadt Löhne im Jahr 2025</t>
        </is>
      </c>
      <c r="N33" s="14" t="inlineStr">
        <is>
          <t>Fraktion der AfD</t>
        </is>
      </c>
      <c r="O33" s="16" t="inlineStr">
        <is>
          <t>PDF</t>
        </is>
      </c>
      <c r="P33" s="14" t="inlineStr"/>
      <c r="Q33" s="14" t="inlineStr">
        <is>
          <t>Entwicklung / Kriminalität</t>
        </is>
      </c>
      <c r="R33" s="14">
        <f>IF(COUNTIF(Abstimmungen!$B$5:$B$2000,D33)-COUNTIFS(Abstimmungen!$B$5:$B$2000,D33,Abstimmungen!$D$5:$D$2000,"*berweisung*")&gt;0,1,0)</f>
        <v/>
      </c>
    </row>
    <row r="34">
      <c r="A34" s="13" t="n">
        <v>46157</v>
      </c>
      <c r="B34" s="14">
        <f>IF(A34="","",YEAR(A34))</f>
        <v/>
      </c>
      <c r="C34" s="14">
        <f>IF(A34="","",YEAR(A34)&amp;"-Q"&amp;ROUNDUP(MONTH(A34)/3,0))</f>
        <v/>
      </c>
      <c r="D34" s="14" t="inlineStr">
        <is>
          <t>21/5941</t>
        </is>
      </c>
      <c r="E34" s="14" t="inlineStr">
        <is>
          <t>Kleine Anfrage</t>
        </is>
      </c>
      <c r="F34" s="14" t="inlineStr">
        <is>
          <t>AfD</t>
        </is>
      </c>
      <c r="G34" s="14" t="inlineStr">
        <is>
          <t>Opposition</t>
        </is>
      </c>
      <c r="H34" s="14" t="inlineStr">
        <is>
          <t>21</t>
        </is>
      </c>
      <c r="I34" s="14" t="inlineStr">
        <is>
          <t>Bahnhoefe; Kriminalitaet</t>
        </is>
      </c>
      <c r="J34" s="14" t="inlineStr"/>
      <c r="K34" s="15">
        <f>IF(OR(J34="",LEFT(E34,7)&lt;&gt;"Antwort"),"",IFERROR(A34-INDEX($A$2:$A$293,MATCH(J34,$D$2:$D$293,0)),""))</f>
        <v/>
      </c>
      <c r="L34" s="14">
        <f>IF(E34&lt;&gt;"Kleine Anfrage","",IFERROR(INDEX($D$2:$D$293,MATCH(D34,$J$2:$J$293,0)),"offen"))</f>
        <v/>
      </c>
      <c r="M34" s="14" t="inlineStr">
        <is>
          <t>Entwicklung der Kriminalität im Bereich des Bahnhofs der Stadt Lage im Jahr 2025</t>
        </is>
      </c>
      <c r="N34" s="14" t="inlineStr">
        <is>
          <t>Fraktion der AfD</t>
        </is>
      </c>
      <c r="O34" s="16" t="inlineStr">
        <is>
          <t>PDF</t>
        </is>
      </c>
      <c r="P34" s="14" t="inlineStr"/>
      <c r="Q34" s="14" t="inlineStr">
        <is>
          <t>Entwicklung / Kriminalität</t>
        </is>
      </c>
      <c r="R34" s="14">
        <f>IF(COUNTIF(Abstimmungen!$B$5:$B$2000,D34)-COUNTIFS(Abstimmungen!$B$5:$B$2000,D34,Abstimmungen!$D$5:$D$2000,"*berweisung*")&gt;0,1,0)</f>
        <v/>
      </c>
    </row>
    <row r="35">
      <c r="A35" s="13" t="n">
        <v>46157</v>
      </c>
      <c r="B35" s="14">
        <f>IF(A35="","",YEAR(A35))</f>
        <v/>
      </c>
      <c r="C35" s="14">
        <f>IF(A35="","",YEAR(A35)&amp;"-Q"&amp;ROUNDUP(MONTH(A35)/3,0))</f>
        <v/>
      </c>
      <c r="D35" s="14" t="inlineStr">
        <is>
          <t>21/5940</t>
        </is>
      </c>
      <c r="E35" s="14" t="inlineStr">
        <is>
          <t>Kleine Anfrage</t>
        </is>
      </c>
      <c r="F35" s="14" t="inlineStr">
        <is>
          <t>AfD</t>
        </is>
      </c>
      <c r="G35" s="14" t="inlineStr">
        <is>
          <t>Opposition</t>
        </is>
      </c>
      <c r="H35" s="14" t="inlineStr">
        <is>
          <t>21</t>
        </is>
      </c>
      <c r="I35" s="14" t="inlineStr">
        <is>
          <t>Bahnhoefe; Kriminalitaet</t>
        </is>
      </c>
      <c r="J35" s="14" t="inlineStr"/>
      <c r="K35" s="15">
        <f>IF(OR(J35="",LEFT(E35,7)&lt;&gt;"Antwort"),"",IFERROR(A35-INDEX($A$2:$A$293,MATCH(J35,$D$2:$D$293,0)),""))</f>
        <v/>
      </c>
      <c r="L35" s="14">
        <f>IF(E35&lt;&gt;"Kleine Anfrage","",IFERROR(INDEX($D$2:$D$293,MATCH(D35,$J$2:$J$293,0)),"offen"))</f>
        <v/>
      </c>
      <c r="M35" s="14" t="inlineStr">
        <is>
          <t>Entwicklung der Kriminalität im Bereich des Bahnhofs der Stadt Detmold im Jahr 2025</t>
        </is>
      </c>
      <c r="N35" s="14" t="inlineStr">
        <is>
          <t>Fraktion der AfD</t>
        </is>
      </c>
      <c r="O35" s="16" t="inlineStr">
        <is>
          <t>PDF</t>
        </is>
      </c>
      <c r="P35" s="14" t="inlineStr"/>
      <c r="Q35" s="14" t="inlineStr">
        <is>
          <t>Entwicklung / Kriminalität</t>
        </is>
      </c>
      <c r="R35" s="14">
        <f>IF(COUNTIF(Abstimmungen!$B$5:$B$2000,D35)-COUNTIFS(Abstimmungen!$B$5:$B$2000,D35,Abstimmungen!$D$5:$D$2000,"*berweisung*")&gt;0,1,0)</f>
        <v/>
      </c>
    </row>
    <row r="36">
      <c r="A36" s="13" t="n">
        <v>46157</v>
      </c>
      <c r="B36" s="14">
        <f>IF(A36="","",YEAR(A36))</f>
        <v/>
      </c>
      <c r="C36" s="14">
        <f>IF(A36="","",YEAR(A36)&amp;"-Q"&amp;ROUNDUP(MONTH(A36)/3,0))</f>
        <v/>
      </c>
      <c r="D36" s="14" t="inlineStr">
        <is>
          <t>21/5938</t>
        </is>
      </c>
      <c r="E36" s="14" t="inlineStr">
        <is>
          <t>Kleine Anfrage</t>
        </is>
      </c>
      <c r="F36" s="14" t="inlineStr">
        <is>
          <t>AfD</t>
        </is>
      </c>
      <c r="G36" s="14" t="inlineStr">
        <is>
          <t>Opposition</t>
        </is>
      </c>
      <c r="H36" s="14" t="inlineStr">
        <is>
          <t>21</t>
        </is>
      </c>
      <c r="I36" s="14" t="inlineStr">
        <is>
          <t>Bahnhoefe; Kriminalitaet</t>
        </is>
      </c>
      <c r="J36" s="14" t="inlineStr"/>
      <c r="K36" s="15">
        <f>IF(OR(J36="",LEFT(E36,7)&lt;&gt;"Antwort"),"",IFERROR(A36-INDEX($A$2:$A$293,MATCH(J36,$D$2:$D$293,0)),""))</f>
        <v/>
      </c>
      <c r="L36" s="14">
        <f>IF(E36&lt;&gt;"Kleine Anfrage","",IFERROR(INDEX($D$2:$D$293,MATCH(D36,$J$2:$J$293,0)),"offen"))</f>
        <v/>
      </c>
      <c r="M36" s="14" t="inlineStr">
        <is>
          <t>Entwicklung der Kriminalität im Bereich des Bahnhofs der Stadt Herford im Jahr 2025</t>
        </is>
      </c>
      <c r="N36" s="14" t="inlineStr">
        <is>
          <t>Fraktion der AfD</t>
        </is>
      </c>
      <c r="O36" s="16" t="inlineStr">
        <is>
          <t>PDF</t>
        </is>
      </c>
      <c r="P36" s="14" t="inlineStr"/>
      <c r="Q36" s="14" t="inlineStr">
        <is>
          <t>Entwicklung / Kriminalität</t>
        </is>
      </c>
      <c r="R36" s="14">
        <f>IF(COUNTIF(Abstimmungen!$B$5:$B$2000,D36)-COUNTIFS(Abstimmungen!$B$5:$B$2000,D36,Abstimmungen!$D$5:$D$2000,"*berweisung*")&gt;0,1,0)</f>
        <v/>
      </c>
    </row>
    <row r="37">
      <c r="A37" s="13" t="n">
        <v>46147</v>
      </c>
      <c r="B37" s="14">
        <f>IF(A37="","",YEAR(A37))</f>
        <v/>
      </c>
      <c r="C37" s="14">
        <f>IF(A37="","",YEAR(A37)&amp;"-Q"&amp;ROUNDUP(MONTH(A37)/3,0))</f>
        <v/>
      </c>
      <c r="D37" s="14" t="inlineStr">
        <is>
          <t>21/5732</t>
        </is>
      </c>
      <c r="E37" s="14" t="inlineStr">
        <is>
          <t>Antwort</t>
        </is>
      </c>
      <c r="F37" s="14" t="inlineStr">
        <is>
          <t>Bundesregierung</t>
        </is>
      </c>
      <c r="G37" s="14" t="inlineStr">
        <is>
          <t>Regierung</t>
        </is>
      </c>
      <c r="H37" s="14" t="inlineStr">
        <is>
          <t>21</t>
        </is>
      </c>
      <c r="I37" s="14" t="inlineStr">
        <is>
          <t>Bahnhoefe; Kriminalitaet</t>
        </is>
      </c>
      <c r="J37" s="14" t="inlineStr">
        <is>
          <t>21/4586</t>
        </is>
      </c>
      <c r="K37" s="15">
        <f>IF(OR(J37="",LEFT(E37,7)&lt;&gt;"Antwort"),"",IFERROR(A37-INDEX($A$2:$A$293,MATCH(J37,$D$2:$D$293,0)),""))</f>
        <v/>
      </c>
      <c r="L37" s="14">
        <f>IF(E37&lt;&gt;"Kleine Anfrage","",IFERROR(INDEX($D$2:$D$293,MATCH(D37,$J$2:$J$293,0)),"offen"))</f>
        <v/>
      </c>
      <c r="M37" s="14" t="inlineStr">
        <is>
          <t>Straftaten an Thüringer Bahnhöfen und Flughäfen im Jahr 2025</t>
        </is>
      </c>
      <c r="N37" s="14" t="inlineStr">
        <is>
          <t>Bundesregierung</t>
        </is>
      </c>
      <c r="O37" s="16" t="inlineStr">
        <is>
          <t>PDF</t>
        </is>
      </c>
      <c r="P37" s="14" t="inlineStr">
        <is>
          <t>AfD</t>
        </is>
      </c>
      <c r="Q37" s="14" t="inlineStr"/>
      <c r="R37" s="14">
        <f>IF(COUNTIF(Abstimmungen!$B$5:$B$2000,D37)-COUNTIFS(Abstimmungen!$B$5:$B$2000,D37,Abstimmungen!$D$5:$D$2000,"*berweisung*")&gt;0,1,0)</f>
        <v/>
      </c>
    </row>
    <row r="38">
      <c r="A38" s="13" t="n">
        <v>46142</v>
      </c>
      <c r="B38" s="14">
        <f>IF(A38="","",YEAR(A38))</f>
        <v/>
      </c>
      <c r="C38" s="14">
        <f>IF(A38="","",YEAR(A38)&amp;"-Q"&amp;ROUNDUP(MONTH(A38)/3,0))</f>
        <v/>
      </c>
      <c r="D38" s="14" t="inlineStr">
        <is>
          <t>21/5700</t>
        </is>
      </c>
      <c r="E38" s="14" t="inlineStr">
        <is>
          <t>Unterrichtung</t>
        </is>
      </c>
      <c r="F38" s="14" t="inlineStr">
        <is>
          <t>Bundesregierung</t>
        </is>
      </c>
      <c r="G38" s="14" t="inlineStr">
        <is>
          <t>Regierung</t>
        </is>
      </c>
      <c r="H38" s="14" t="inlineStr">
        <is>
          <t>21</t>
        </is>
      </c>
      <c r="I38" s="14" t="inlineStr">
        <is>
          <t>Nahverkehr/SPNV; Finanzierung</t>
        </is>
      </c>
      <c r="J38" s="14" t="inlineStr"/>
      <c r="K38" s="15">
        <f>IF(OR(J38="",LEFT(E38,7)&lt;&gt;"Antwort"),"",IFERROR(A38-INDEX($A$2:$A$293,MATCH(J38,$D$2:$D$293,0)),""))</f>
        <v/>
      </c>
      <c r="L38" s="14">
        <f>IF(E38&lt;&gt;"Kleine Anfrage","",IFERROR(INDEX($D$2:$D$293,MATCH(D38,$J$2:$J$293,0)),"offen"))</f>
        <v/>
      </c>
      <c r="M38" s="14" t="inlineStr">
        <is>
          <t>Bericht der Bundesregierung zur Verwendung der Regionalisierungsmittel durch die Länder im Jahr 2019</t>
        </is>
      </c>
      <c r="N38" s="14" t="inlineStr">
        <is>
          <t>Bundesregierung</t>
        </is>
      </c>
      <c r="O38" s="16" t="inlineStr">
        <is>
          <t>PDF</t>
        </is>
      </c>
      <c r="P38" s="14" t="inlineStr"/>
      <c r="Q38" s="14" t="inlineStr"/>
      <c r="R38" s="14">
        <f>IF(COUNTIF(Abstimmungen!$B$5:$B$2000,D38)-COUNTIFS(Abstimmungen!$B$5:$B$2000,D38,Abstimmungen!$D$5:$D$2000,"*berweisung*")&gt;0,1,0)</f>
        <v/>
      </c>
    </row>
    <row r="39">
      <c r="A39" s="13" t="n">
        <v>46140</v>
      </c>
      <c r="B39" s="14">
        <f>IF(A39="","",YEAR(A39))</f>
        <v/>
      </c>
      <c r="C39" s="14">
        <f>IF(A39="","",YEAR(A39)&amp;"-Q"&amp;ROUNDUP(MONTH(A39)/3,0))</f>
        <v/>
      </c>
      <c r="D39" s="14" t="inlineStr">
        <is>
          <t>21/5663</t>
        </is>
      </c>
      <c r="E39" s="14" t="inlineStr">
        <is>
          <t>Antwort</t>
        </is>
      </c>
      <c r="F39" s="14" t="inlineStr">
        <is>
          <t>Bundesregierung</t>
        </is>
      </c>
      <c r="G39" s="14" t="inlineStr">
        <is>
          <t>Regierung</t>
        </is>
      </c>
      <c r="H39" s="14" t="inlineStr">
        <is>
          <t>21</t>
        </is>
      </c>
      <c r="I39" s="14" t="inlineStr">
        <is>
          <t>Infrastruktur/Netz</t>
        </is>
      </c>
      <c r="J39" s="14" t="inlineStr">
        <is>
          <t>21/4635</t>
        </is>
      </c>
      <c r="K39" s="15">
        <f>IF(OR(J39="",LEFT(E39,7)&lt;&gt;"Antwort"),"",IFERROR(A39-INDEX($A$2:$A$293,MATCH(J39,$D$2:$D$293,0)),""))</f>
        <v/>
      </c>
      <c r="L39" s="14">
        <f>IF(E39&lt;&gt;"Kleine Anfrage","",IFERROR(INDEX($D$2:$D$293,MATCH(D39,$J$2:$J$293,0)),"offen"))</f>
        <v/>
      </c>
      <c r="M39" s="14" t="inlineStr">
        <is>
          <t>Generalsanierung der Bahnstrecke Troisdorf-Wiesbaden</t>
        </is>
      </c>
      <c r="N39" s="14" t="inlineStr">
        <is>
          <t>Bundesregierung</t>
        </is>
      </c>
      <c r="O39" s="16" t="inlineStr">
        <is>
          <t>PDF</t>
        </is>
      </c>
      <c r="P39" s="14" t="inlineStr">
        <is>
          <t>Gruene</t>
        </is>
      </c>
      <c r="Q39" s="14" t="inlineStr"/>
      <c r="R39" s="14">
        <f>IF(COUNTIF(Abstimmungen!$B$5:$B$2000,D39)-COUNTIFS(Abstimmungen!$B$5:$B$2000,D39,Abstimmungen!$D$5:$D$2000,"*berweisung*")&gt;0,1,0)</f>
        <v/>
      </c>
    </row>
    <row r="40">
      <c r="A40" s="13" t="n">
        <v>46139</v>
      </c>
      <c r="B40" s="14">
        <f>IF(A40="","",YEAR(A40))</f>
        <v/>
      </c>
      <c r="C40" s="14">
        <f>IF(A40="","",YEAR(A40)&amp;"-Q"&amp;ROUNDUP(MONTH(A40)/3,0))</f>
        <v/>
      </c>
      <c r="D40" s="14" t="inlineStr">
        <is>
          <t>21/5610</t>
        </is>
      </c>
      <c r="E40" s="14" t="inlineStr">
        <is>
          <t>Kleine Anfrage</t>
        </is>
      </c>
      <c r="F40" s="14" t="inlineStr">
        <is>
          <t>Gruene</t>
        </is>
      </c>
      <c r="G40" s="14" t="inlineStr">
        <is>
          <t>Opposition</t>
        </is>
      </c>
      <c r="H40" s="14" t="inlineStr">
        <is>
          <t>21</t>
        </is>
      </c>
      <c r="I40" s="14" t="inlineStr">
        <is>
          <t>Infrastruktur/Netz</t>
        </is>
      </c>
      <c r="J40" s="14" t="inlineStr"/>
      <c r="K40" s="15">
        <f>IF(OR(J40="",LEFT(E40,7)&lt;&gt;"Antwort"),"",IFERROR(A40-INDEX($A$2:$A$293,MATCH(J40,$D$2:$D$293,0)),""))</f>
        <v/>
      </c>
      <c r="L40" s="14">
        <f>IF(E40&lt;&gt;"Kleine Anfrage","",IFERROR(INDEX($D$2:$D$293,MATCH(D40,$J$2:$J$293,0)),"offen"))</f>
        <v/>
      </c>
      <c r="M40" s="14" t="inlineStr">
        <is>
          <t>Infrastrukturzustandsnoten Schieneninfrastruktur in Berlin</t>
        </is>
      </c>
      <c r="N40" s="14" t="inlineStr">
        <is>
          <t>Fraktion BÜNDNIS 90/DIE GRÜNEN</t>
        </is>
      </c>
      <c r="O40" s="16" t="inlineStr">
        <is>
          <t>PDF</t>
        </is>
      </c>
      <c r="P40" s="14" t="inlineStr"/>
      <c r="Q40" s="14" t="inlineStr"/>
      <c r="R40" s="14">
        <f>IF(COUNTIF(Abstimmungen!$B$5:$B$2000,D40)-COUNTIFS(Abstimmungen!$B$5:$B$2000,D40,Abstimmungen!$D$5:$D$2000,"*berweisung*")&gt;0,1,0)</f>
        <v/>
      </c>
    </row>
    <row r="41">
      <c r="A41" s="13" t="n">
        <v>46121</v>
      </c>
      <c r="B41" s="14">
        <f>IF(A41="","",YEAR(A41))</f>
        <v/>
      </c>
      <c r="C41" s="14">
        <f>IF(A41="","",YEAR(A41)&amp;"-Q"&amp;ROUNDUP(MONTH(A41)/3,0))</f>
        <v/>
      </c>
      <c r="D41" s="14" t="inlineStr">
        <is>
          <t>21/5307</t>
        </is>
      </c>
      <c r="E41" s="14" t="inlineStr">
        <is>
          <t>Antwort</t>
        </is>
      </c>
      <c r="F41" s="14" t="inlineStr">
        <is>
          <t>Bundesregierung</t>
        </is>
      </c>
      <c r="G41" s="14" t="inlineStr">
        <is>
          <t>Regierung</t>
        </is>
      </c>
      <c r="H41" s="14" t="inlineStr">
        <is>
          <t>21</t>
        </is>
      </c>
      <c r="I41" s="14" t="inlineStr">
        <is>
          <t>Kriminalitaet</t>
        </is>
      </c>
      <c r="J41" s="14" t="inlineStr">
        <is>
          <t>21/4552</t>
        </is>
      </c>
      <c r="K41" s="15">
        <f>IF(OR(J41="",LEFT(E41,7)&lt;&gt;"Antwort"),"",IFERROR(A41-INDEX($A$2:$A$293,MATCH(J41,$D$2:$D$293,0)),""))</f>
        <v/>
      </c>
      <c r="L41" s="14">
        <f>IF(E41&lt;&gt;"Kleine Anfrage","",IFERROR(INDEX($D$2:$D$293,MATCH(D41,$J$2:$J$293,0)),"offen"))</f>
        <v/>
      </c>
      <c r="M41" s="14" t="inlineStr">
        <is>
          <t>Übergriffe auf Mitarbeiter der Deutschen Bahn AG seit 2015 und Sachstand Arbeitsschutz</t>
        </is>
      </c>
      <c r="N41" s="14" t="inlineStr">
        <is>
          <t>Bundesregierung</t>
        </is>
      </c>
      <c r="O41" s="16" t="inlineStr">
        <is>
          <t>PDF</t>
        </is>
      </c>
      <c r="P41" s="14" t="inlineStr">
        <is>
          <t>AfD</t>
        </is>
      </c>
      <c r="Q41" s="14" t="inlineStr"/>
      <c r="R41" s="14">
        <f>IF(COUNTIF(Abstimmungen!$B$5:$B$2000,D41)-COUNTIFS(Abstimmungen!$B$5:$B$2000,D41,Abstimmungen!$D$5:$D$2000,"*berweisung*")&gt;0,1,0)</f>
        <v/>
      </c>
    </row>
    <row r="42">
      <c r="A42" s="13" t="n">
        <v>46092</v>
      </c>
      <c r="B42" s="14">
        <f>IF(A42="","",YEAR(A42))</f>
        <v/>
      </c>
      <c r="C42" s="14">
        <f>IF(A42="","",YEAR(A42)&amp;"-Q"&amp;ROUNDUP(MONTH(A42)/3,0))</f>
        <v/>
      </c>
      <c r="D42" s="14" t="inlineStr">
        <is>
          <t>21/4635</t>
        </is>
      </c>
      <c r="E42" s="14" t="inlineStr">
        <is>
          <t>Kleine Anfrage</t>
        </is>
      </c>
      <c r="F42" s="14" t="inlineStr">
        <is>
          <t>Gruene</t>
        </is>
      </c>
      <c r="G42" s="14" t="inlineStr">
        <is>
          <t>Opposition</t>
        </is>
      </c>
      <c r="H42" s="14" t="inlineStr">
        <is>
          <t>21</t>
        </is>
      </c>
      <c r="I42" s="14" t="inlineStr">
        <is>
          <t>Infrastruktur/Netz</t>
        </is>
      </c>
      <c r="J42" s="14" t="inlineStr"/>
      <c r="K42" s="15">
        <f>IF(OR(J42="",LEFT(E42,7)&lt;&gt;"Antwort"),"",IFERROR(A42-INDEX($A$2:$A$293,MATCH(J42,$D$2:$D$293,0)),""))</f>
        <v/>
      </c>
      <c r="L42" s="14">
        <f>IF(E42&lt;&gt;"Kleine Anfrage","",IFERROR(INDEX($D$2:$D$293,MATCH(D42,$J$2:$J$293,0)),"offen"))</f>
        <v/>
      </c>
      <c r="M42" s="14" t="inlineStr">
        <is>
          <t>Generalsanierung der Bahnstrecke Troisdorf-Wiesbaden</t>
        </is>
      </c>
      <c r="N42" s="14" t="inlineStr">
        <is>
          <t>Fraktion BÜNDNIS 90/DIE GRÜNEN</t>
        </is>
      </c>
      <c r="O42" s="16" t="inlineStr">
        <is>
          <t>PDF</t>
        </is>
      </c>
      <c r="P42" s="14" t="inlineStr"/>
      <c r="Q42" s="14" t="inlineStr"/>
      <c r="R42" s="14">
        <f>IF(COUNTIF(Abstimmungen!$B$5:$B$2000,D42)-COUNTIFS(Abstimmungen!$B$5:$B$2000,D42,Abstimmungen!$D$5:$D$2000,"*berweisung*")&gt;0,1,0)</f>
        <v/>
      </c>
    </row>
    <row r="43">
      <c r="A43" s="13" t="n">
        <v>46087</v>
      </c>
      <c r="B43" s="14">
        <f>IF(A43="","",YEAR(A43))</f>
        <v/>
      </c>
      <c r="C43" s="14">
        <f>IF(A43="","",YEAR(A43)&amp;"-Q"&amp;ROUNDUP(MONTH(A43)/3,0))</f>
        <v/>
      </c>
      <c r="D43" s="14" t="inlineStr">
        <is>
          <t>21/4586</t>
        </is>
      </c>
      <c r="E43" s="14" t="inlineStr">
        <is>
          <t>Kleine Anfrage</t>
        </is>
      </c>
      <c r="F43" s="14" t="inlineStr">
        <is>
          <t>AfD</t>
        </is>
      </c>
      <c r="G43" s="14" t="inlineStr">
        <is>
          <t>Opposition</t>
        </is>
      </c>
      <c r="H43" s="14" t="inlineStr">
        <is>
          <t>21</t>
        </is>
      </c>
      <c r="I43" s="14" t="inlineStr">
        <is>
          <t>Bahnhoefe; Kriminalitaet</t>
        </is>
      </c>
      <c r="J43" s="14" t="inlineStr"/>
      <c r="K43" s="15">
        <f>IF(OR(J43="",LEFT(E43,7)&lt;&gt;"Antwort"),"",IFERROR(A43-INDEX($A$2:$A$293,MATCH(J43,$D$2:$D$293,0)),""))</f>
        <v/>
      </c>
      <c r="L43" s="14">
        <f>IF(E43&lt;&gt;"Kleine Anfrage","",IFERROR(INDEX($D$2:$D$293,MATCH(D43,$J$2:$J$293,0)),"offen"))</f>
        <v/>
      </c>
      <c r="M43" s="14" t="inlineStr">
        <is>
          <t>Straftaten an Thüringer Bahnhöfen und Flughäfen im Jahr 2025</t>
        </is>
      </c>
      <c r="N43" s="14" t="inlineStr">
        <is>
          <t>Fraktion der AfD</t>
        </is>
      </c>
      <c r="O43" s="16" t="inlineStr">
        <is>
          <t>PDF</t>
        </is>
      </c>
      <c r="P43" s="14" t="inlineStr"/>
      <c r="Q43" s="14" t="inlineStr">
        <is>
          <t>Bahnhöfen / Straftaten</t>
        </is>
      </c>
      <c r="R43" s="14">
        <f>IF(COUNTIF(Abstimmungen!$B$5:$B$2000,D43)-COUNTIFS(Abstimmungen!$B$5:$B$2000,D43,Abstimmungen!$D$5:$D$2000,"*berweisung*")&gt;0,1,0)</f>
        <v/>
      </c>
    </row>
    <row r="44">
      <c r="A44" s="13" t="n">
        <v>46086</v>
      </c>
      <c r="B44" s="14">
        <f>IF(A44="","",YEAR(A44))</f>
        <v/>
      </c>
      <c r="C44" s="14">
        <f>IF(A44="","",YEAR(A44)&amp;"-Q"&amp;ROUNDUP(MONTH(A44)/3,0))</f>
        <v/>
      </c>
      <c r="D44" s="14" t="inlineStr">
        <is>
          <t>21/4552</t>
        </is>
      </c>
      <c r="E44" s="14" t="inlineStr">
        <is>
          <t>Kleine Anfrage</t>
        </is>
      </c>
      <c r="F44" s="14" t="inlineStr">
        <is>
          <t>AfD</t>
        </is>
      </c>
      <c r="G44" s="14" t="inlineStr">
        <is>
          <t>Opposition</t>
        </is>
      </c>
      <c r="H44" s="14" t="inlineStr">
        <is>
          <t>21</t>
        </is>
      </c>
      <c r="I44" s="14" t="inlineStr">
        <is>
          <t>Kriminalitaet</t>
        </is>
      </c>
      <c r="J44" s="14" t="inlineStr"/>
      <c r="K44" s="15">
        <f>IF(OR(J44="",LEFT(E44,7)&lt;&gt;"Antwort"),"",IFERROR(A44-INDEX($A$2:$A$293,MATCH(J44,$D$2:$D$293,0)),""))</f>
        <v/>
      </c>
      <c r="L44" s="14">
        <f>IF(E44&lt;&gt;"Kleine Anfrage","",IFERROR(INDEX($D$2:$D$293,MATCH(D44,$J$2:$J$293,0)),"offen"))</f>
        <v/>
      </c>
      <c r="M44" s="14" t="inlineStr">
        <is>
          <t>Übergriffe auf Mitarbeiter der Deutschen Bahn AG seit 2015 und Sachstand Arbeitsschutz</t>
        </is>
      </c>
      <c r="N44" s="14" t="inlineStr">
        <is>
          <t>Fraktion der AfD</t>
        </is>
      </c>
      <c r="O44" s="16" t="inlineStr">
        <is>
          <t>PDF</t>
        </is>
      </c>
      <c r="P44" s="14" t="inlineStr"/>
      <c r="Q44" s="14" t="inlineStr"/>
      <c r="R44" s="14">
        <f>IF(COUNTIF(Abstimmungen!$B$5:$B$2000,D44)-COUNTIFS(Abstimmungen!$B$5:$B$2000,D44,Abstimmungen!$D$5:$D$2000,"*berweisung*")&gt;0,1,0)</f>
        <v/>
      </c>
    </row>
    <row r="45">
      <c r="A45" s="13" t="n">
        <v>46086</v>
      </c>
      <c r="B45" s="14">
        <f>IF(A45="","",YEAR(A45))</f>
        <v/>
      </c>
      <c r="C45" s="14">
        <f>IF(A45="","",YEAR(A45)&amp;"-Q"&amp;ROUNDUP(MONTH(A45)/3,0))</f>
        <v/>
      </c>
      <c r="D45" s="14" t="inlineStr">
        <is>
          <t>21/4578</t>
        </is>
      </c>
      <c r="E45" s="14" t="inlineStr">
        <is>
          <t>Antwort</t>
        </is>
      </c>
      <c r="F45" s="14" t="inlineStr">
        <is>
          <t>Bundesregierung</t>
        </is>
      </c>
      <c r="G45" s="14" t="inlineStr">
        <is>
          <t>Regierung</t>
        </is>
      </c>
      <c r="H45" s="14" t="inlineStr">
        <is>
          <t>21</t>
        </is>
      </c>
      <c r="I45" s="14" t="inlineStr">
        <is>
          <t>Bahnhoefe; Kriminalitaet</t>
        </is>
      </c>
      <c r="J45" s="14" t="inlineStr">
        <is>
          <t>21/4055</t>
        </is>
      </c>
      <c r="K45" s="15">
        <f>IF(OR(J45="",LEFT(E45,7)&lt;&gt;"Antwort"),"",IFERROR(A45-INDEX($A$2:$A$293,MATCH(J45,$D$2:$D$293,0)),""))</f>
        <v/>
      </c>
      <c r="L45" s="14">
        <f>IF(E45&lt;&gt;"Kleine Anfrage","",IFERROR(INDEX($D$2:$D$293,MATCH(D45,$J$2:$J$293,0)),"offen"))</f>
        <v/>
      </c>
      <c r="M45" s="14" t="inlineStr">
        <is>
          <t>Kriminalitätsentwicklung am Bahnhof Ludwigsburg im Vergleich der Jahre 2024 und 2025</t>
        </is>
      </c>
      <c r="N45" s="14" t="inlineStr">
        <is>
          <t>Bundesregierung</t>
        </is>
      </c>
      <c r="O45" s="16" t="inlineStr">
        <is>
          <t>PDF</t>
        </is>
      </c>
      <c r="P45" s="14" t="inlineStr">
        <is>
          <t>AfD</t>
        </is>
      </c>
      <c r="Q45" s="14" t="inlineStr"/>
      <c r="R45" s="14">
        <f>IF(COUNTIF(Abstimmungen!$B$5:$B$2000,D45)-COUNTIFS(Abstimmungen!$B$5:$B$2000,D45,Abstimmungen!$D$5:$D$2000,"*berweisung*")&gt;0,1,0)</f>
        <v/>
      </c>
    </row>
    <row r="46">
      <c r="A46" s="13" t="n">
        <v>46085</v>
      </c>
      <c r="B46" s="14">
        <f>IF(A46="","",YEAR(A46))</f>
        <v/>
      </c>
      <c r="C46" s="14">
        <f>IF(A46="","",YEAR(A46)&amp;"-Q"&amp;ROUNDUP(MONTH(A46)/3,0))</f>
        <v/>
      </c>
      <c r="D46" s="14" t="inlineStr">
        <is>
          <t>21/4567</t>
        </is>
      </c>
      <c r="E46" s="14" t="inlineStr">
        <is>
          <t>Antwort</t>
        </is>
      </c>
      <c r="F46" s="14" t="inlineStr">
        <is>
          <t>Bundesregierung</t>
        </is>
      </c>
      <c r="G46" s="14" t="inlineStr">
        <is>
          <t>Regierung</t>
        </is>
      </c>
      <c r="H46" s="14" t="inlineStr">
        <is>
          <t>21</t>
        </is>
      </c>
      <c r="I46" s="14" t="inlineStr">
        <is>
          <t>Sicherheit</t>
        </is>
      </c>
      <c r="J46" s="14" t="inlineStr">
        <is>
          <t>21/3998</t>
        </is>
      </c>
      <c r="K46" s="15">
        <f>IF(OR(J46="",LEFT(E46,7)&lt;&gt;"Antwort"),"",IFERROR(A46-INDEX($A$2:$A$293,MATCH(J46,$D$2:$D$293,0)),""))</f>
        <v/>
      </c>
      <c r="L46" s="14">
        <f>IF(E46&lt;&gt;"Kleine Anfrage","",IFERROR(INDEX($D$2:$D$293,MATCH(D46,$J$2:$J$293,0)),"offen"))</f>
        <v/>
      </c>
      <c r="M46" s="14" t="inlineStr">
        <is>
          <t>Sicherheit und Sicherheitskosten im Bereich der Deutschen Bahn AG</t>
        </is>
      </c>
      <c r="N46" s="14" t="inlineStr">
        <is>
          <t>Bundesregierung</t>
        </is>
      </c>
      <c r="O46" s="16" t="inlineStr">
        <is>
          <t>PDF</t>
        </is>
      </c>
      <c r="P46" s="14" t="inlineStr">
        <is>
          <t>AfD</t>
        </is>
      </c>
      <c r="Q46" s="14" t="inlineStr"/>
      <c r="R46" s="14">
        <f>IF(COUNTIF(Abstimmungen!$B$5:$B$2000,D46)-COUNTIFS(Abstimmungen!$B$5:$B$2000,D46,Abstimmungen!$D$5:$D$2000,"*berweisung*")&gt;0,1,0)</f>
        <v/>
      </c>
    </row>
    <row r="47">
      <c r="A47" s="13" t="n">
        <v>46084</v>
      </c>
      <c r="B47" s="14">
        <f>IF(A47="","",YEAR(A47))</f>
        <v/>
      </c>
      <c r="C47" s="14">
        <f>IF(A47="","",YEAR(A47)&amp;"-Q"&amp;ROUNDUP(MONTH(A47)/3,0))</f>
        <v/>
      </c>
      <c r="D47" s="14" t="inlineStr">
        <is>
          <t>21/4458</t>
        </is>
      </c>
      <c r="E47" s="14" t="inlineStr">
        <is>
          <t>Antrag</t>
        </is>
      </c>
      <c r="F47" s="14" t="inlineStr">
        <is>
          <t>Gruene</t>
        </is>
      </c>
      <c r="G47" s="14" t="inlineStr">
        <is>
          <t>Opposition</t>
        </is>
      </c>
      <c r="H47" s="14" t="inlineStr">
        <is>
          <t>21</t>
        </is>
      </c>
      <c r="I47" s="14" t="inlineStr">
        <is>
          <t>Infrastruktur/Netz</t>
        </is>
      </c>
      <c r="J47" s="14" t="inlineStr"/>
      <c r="K47" s="15">
        <f>IF(OR(J47="",LEFT(E47,7)&lt;&gt;"Antwort"),"",IFERROR(A47-INDEX($A$2:$A$293,MATCH(J47,$D$2:$D$293,0)),""))</f>
        <v/>
      </c>
      <c r="L47" s="14">
        <f>IF(E47&lt;&gt;"Kleine Anfrage","",IFERROR(INDEX($D$2:$D$293,MATCH(D47,$J$2:$J$293,0)),"offen"))</f>
        <v/>
      </c>
      <c r="M47" s="14" t="inlineStr">
        <is>
          <t>Infrastrukturvorhaben im Schienennetz effektiv beschleunigen</t>
        </is>
      </c>
      <c r="N47" s="14" t="inlineStr">
        <is>
          <t>Fraktion BÜNDNIS 90/DIE GRÜNEN</t>
        </is>
      </c>
      <c r="O47" s="16" t="inlineStr">
        <is>
          <t>PDF</t>
        </is>
      </c>
      <c r="P47" s="14" t="inlineStr"/>
      <c r="Q47" s="14" t="inlineStr"/>
      <c r="R47" s="14">
        <f>IF(COUNTIF(Abstimmungen!$B$5:$B$2000,D47)-COUNTIFS(Abstimmungen!$B$5:$B$2000,D47,Abstimmungen!$D$5:$D$2000,"*berweisung*")&gt;0,1,0)</f>
        <v/>
      </c>
    </row>
    <row r="48">
      <c r="A48" s="13" t="n">
        <v>46084</v>
      </c>
      <c r="B48" s="14">
        <f>IF(A48="","",YEAR(A48))</f>
        <v/>
      </c>
      <c r="C48" s="14">
        <f>IF(A48="","",YEAR(A48)&amp;"-Q"&amp;ROUNDUP(MONTH(A48)/3,0))</f>
        <v/>
      </c>
      <c r="D48" s="14" t="inlineStr">
        <is>
          <t>21/4501</t>
        </is>
      </c>
      <c r="E48" s="14" t="inlineStr">
        <is>
          <t>Antwort</t>
        </is>
      </c>
      <c r="F48" s="14" t="inlineStr">
        <is>
          <t>Bundesregierung</t>
        </is>
      </c>
      <c r="G48" s="14" t="inlineStr">
        <is>
          <t>Regierung</t>
        </is>
      </c>
      <c r="H48" s="14" t="inlineStr">
        <is>
          <t>21</t>
        </is>
      </c>
      <c r="I48" s="14" t="inlineStr">
        <is>
          <t>Infrastruktur/Netz; Sicherheit</t>
        </is>
      </c>
      <c r="J48" s="14" t="inlineStr">
        <is>
          <t>21/4041</t>
        </is>
      </c>
      <c r="K48" s="15">
        <f>IF(OR(J48="",LEFT(E48,7)&lt;&gt;"Antwort"),"",IFERROR(A48-INDEX($A$2:$A$293,MATCH(J48,$D$2:$D$293,0)),""))</f>
        <v/>
      </c>
      <c r="L48" s="14">
        <f>IF(E48&lt;&gt;"Kleine Anfrage","",IFERROR(INDEX($D$2:$D$293,MATCH(D48,$J$2:$J$293,0)),"offen"))</f>
        <v/>
      </c>
      <c r="M48" s="14" t="inlineStr">
        <is>
          <t>Arbeits- und Sicherheitsvorgaben Schienenersatzverkehr im Rahmen der Generalsanierung der Bahnstrecke Hamburg-Berlin</t>
        </is>
      </c>
      <c r="N48" s="14" t="inlineStr">
        <is>
          <t>Bundesregierung</t>
        </is>
      </c>
      <c r="O48" s="16" t="inlineStr">
        <is>
          <t>PDF</t>
        </is>
      </c>
      <c r="P48" s="14" t="inlineStr">
        <is>
          <t>Linke</t>
        </is>
      </c>
      <c r="Q48" s="14" t="inlineStr"/>
      <c r="R48" s="14">
        <f>IF(COUNTIF(Abstimmungen!$B$5:$B$2000,D48)-COUNTIFS(Abstimmungen!$B$5:$B$2000,D48,Abstimmungen!$D$5:$D$2000,"*berweisung*")&gt;0,1,0)</f>
        <v/>
      </c>
    </row>
    <row r="49">
      <c r="A49" s="13" t="n">
        <v>46084</v>
      </c>
      <c r="B49" s="14">
        <f>IF(A49="","",YEAR(A49))</f>
        <v/>
      </c>
      <c r="C49" s="14">
        <f>IF(A49="","",YEAR(A49)&amp;"-Q"&amp;ROUNDUP(MONTH(A49)/3,0))</f>
        <v/>
      </c>
      <c r="D49" s="14" t="inlineStr">
        <is>
          <t>21/4498</t>
        </is>
      </c>
      <c r="E49" s="14" t="inlineStr">
        <is>
          <t>Antwort</t>
        </is>
      </c>
      <c r="F49" s="14" t="inlineStr">
        <is>
          <t>Bundesregierung</t>
        </is>
      </c>
      <c r="G49" s="14" t="inlineStr">
        <is>
          <t>Regierung</t>
        </is>
      </c>
      <c r="H49" s="14" t="inlineStr">
        <is>
          <t>21</t>
        </is>
      </c>
      <c r="I49" s="14" t="inlineStr">
        <is>
          <t>Deutschlandticket</t>
        </is>
      </c>
      <c r="J49" s="14" t="inlineStr">
        <is>
          <t>21/4034</t>
        </is>
      </c>
      <c r="K49" s="15">
        <f>IF(OR(J49="",LEFT(E49,7)&lt;&gt;"Antwort"),"",IFERROR(A49-INDEX($A$2:$A$293,MATCH(J49,$D$2:$D$293,0)),""))</f>
        <v/>
      </c>
      <c r="L49" s="14">
        <f>IF(E49&lt;&gt;"Kleine Anfrage","",IFERROR(INDEX($D$2:$D$293,MATCH(D49,$J$2:$J$293,0)),"offen"))</f>
        <v/>
      </c>
      <c r="M49" s="14" t="inlineStr">
        <is>
          <t>Informationen zur Nutzung des Deutschlandtickets</t>
        </is>
      </c>
      <c r="N49" s="14" t="inlineStr">
        <is>
          <t>Bundesregierung</t>
        </is>
      </c>
      <c r="O49" s="16" t="inlineStr">
        <is>
          <t>PDF</t>
        </is>
      </c>
      <c r="P49" s="14" t="inlineStr">
        <is>
          <t>Linke</t>
        </is>
      </c>
      <c r="Q49" s="14" t="inlineStr"/>
      <c r="R49" s="14">
        <f>IF(COUNTIF(Abstimmungen!$B$5:$B$2000,D49)-COUNTIFS(Abstimmungen!$B$5:$B$2000,D49,Abstimmungen!$D$5:$D$2000,"*berweisung*")&gt;0,1,0)</f>
        <v/>
      </c>
    </row>
    <row r="50">
      <c r="A50" s="13" t="n">
        <v>46078</v>
      </c>
      <c r="B50" s="14">
        <f>IF(A50="","",YEAR(A50))</f>
        <v/>
      </c>
      <c r="C50" s="14">
        <f>IF(A50="","",YEAR(A50)&amp;"-Q"&amp;ROUNDUP(MONTH(A50)/3,0))</f>
        <v/>
      </c>
      <c r="D50" s="14" t="inlineStr">
        <is>
          <t>21/4380</t>
        </is>
      </c>
      <c r="E50" s="14" t="inlineStr">
        <is>
          <t>Antwort</t>
        </is>
      </c>
      <c r="F50" s="14" t="inlineStr">
        <is>
          <t>Bundesregierung</t>
        </is>
      </c>
      <c r="G50" s="14" t="inlineStr">
        <is>
          <t>Regierung</t>
        </is>
      </c>
      <c r="H50" s="14" t="inlineStr">
        <is>
          <t>21</t>
        </is>
      </c>
      <c r="I50" s="14" t="inlineStr">
        <is>
          <t>Bahnhoefe; Kriminalitaet</t>
        </is>
      </c>
      <c r="J50" s="14" t="inlineStr">
        <is>
          <t>21/3966</t>
        </is>
      </c>
      <c r="K50" s="15">
        <f>IF(OR(J50="",LEFT(E50,7)&lt;&gt;"Antwort"),"",IFERROR(A50-INDEX($A$2:$A$293,MATCH(J50,$D$2:$D$293,0)),""))</f>
        <v/>
      </c>
      <c r="L50" s="14">
        <f>IF(E50&lt;&gt;"Kleine Anfrage","",IFERROR(INDEX($D$2:$D$293,MATCH(D50,$J$2:$J$293,0)),"offen"))</f>
        <v/>
      </c>
      <c r="M50" s="14" t="inlineStr">
        <is>
          <t>Kriminalitätsfelder in Bezug auf Bahnhöfe und Züge in Baden-Württemberg im Vergleich der Jahre 2024 und 2025</t>
        </is>
      </c>
      <c r="N50" s="14" t="inlineStr">
        <is>
          <t>Bundesregierung</t>
        </is>
      </c>
      <c r="O50" s="16" t="inlineStr">
        <is>
          <t>PDF</t>
        </is>
      </c>
      <c r="P50" s="14" t="inlineStr">
        <is>
          <t>AfD</t>
        </is>
      </c>
      <c r="Q50" s="14" t="inlineStr"/>
      <c r="R50" s="14">
        <f>IF(COUNTIF(Abstimmungen!$B$5:$B$2000,D50)-COUNTIFS(Abstimmungen!$B$5:$B$2000,D50,Abstimmungen!$D$5:$D$2000,"*berweisung*")&gt;0,1,0)</f>
        <v/>
      </c>
    </row>
    <row r="51">
      <c r="A51" s="13" t="n">
        <v>46078</v>
      </c>
      <c r="B51" s="14">
        <f>IF(A51="","",YEAR(A51))</f>
        <v/>
      </c>
      <c r="C51" s="14">
        <f>IF(A51="","",YEAR(A51)&amp;"-Q"&amp;ROUNDUP(MONTH(A51)/3,0))</f>
        <v/>
      </c>
      <c r="D51" s="14" t="inlineStr">
        <is>
          <t>21/4378</t>
        </is>
      </c>
      <c r="E51" s="14" t="inlineStr">
        <is>
          <t>Antwort</t>
        </is>
      </c>
      <c r="F51" s="14" t="inlineStr">
        <is>
          <t>Bundesregierung</t>
        </is>
      </c>
      <c r="G51" s="14" t="inlineStr">
        <is>
          <t>Regierung</t>
        </is>
      </c>
      <c r="H51" s="14" t="inlineStr">
        <is>
          <t>21</t>
        </is>
      </c>
      <c r="I51" s="14" t="inlineStr">
        <is>
          <t>Bahnhoefe; Kriminalitaet</t>
        </is>
      </c>
      <c r="J51" s="14" t="inlineStr">
        <is>
          <t>21/3934</t>
        </is>
      </c>
      <c r="K51" s="15">
        <f>IF(OR(J51="",LEFT(E51,7)&lt;&gt;"Antwort"),"",IFERROR(A51-INDEX($A$2:$A$293,MATCH(J51,$D$2:$D$293,0)),""))</f>
        <v/>
      </c>
      <c r="L51" s="14">
        <f>IF(E51&lt;&gt;"Kleine Anfrage","",IFERROR(INDEX($D$2:$D$293,MATCH(D51,$J$2:$J$293,0)),"offen"))</f>
        <v/>
      </c>
      <c r="M51" s="14" t="inlineStr">
        <is>
          <t>Kriminalitätsfelder in Bezug auf Bahnhöfe und Züge in Rheinland-Pfalz im Vergleich der Jahre 2024 und 2025</t>
        </is>
      </c>
      <c r="N51" s="14" t="inlineStr">
        <is>
          <t>Bundesregierung</t>
        </is>
      </c>
      <c r="O51" s="16" t="inlineStr">
        <is>
          <t>PDF</t>
        </is>
      </c>
      <c r="P51" s="14" t="inlineStr">
        <is>
          <t>AfD</t>
        </is>
      </c>
      <c r="Q51" s="14" t="inlineStr"/>
      <c r="R51" s="14">
        <f>IF(COUNTIF(Abstimmungen!$B$5:$B$2000,D51)-COUNTIFS(Abstimmungen!$B$5:$B$2000,D51,Abstimmungen!$D$5:$D$2000,"*berweisung*")&gt;0,1,0)</f>
        <v/>
      </c>
    </row>
    <row r="52">
      <c r="A52" s="13" t="n">
        <v>46071</v>
      </c>
      <c r="B52" s="14">
        <f>IF(A52="","",YEAR(A52))</f>
        <v/>
      </c>
      <c r="C52" s="14">
        <f>IF(A52="","",YEAR(A52)&amp;"-Q"&amp;ROUNDUP(MONTH(A52)/3,0))</f>
        <v/>
      </c>
      <c r="D52" s="14" t="inlineStr">
        <is>
          <t>21/4233</t>
        </is>
      </c>
      <c r="E52" s="14" t="inlineStr">
        <is>
          <t>Antwort</t>
        </is>
      </c>
      <c r="F52" s="14" t="inlineStr">
        <is>
          <t>Bundesregierung</t>
        </is>
      </c>
      <c r="G52" s="14" t="inlineStr">
        <is>
          <t>Regierung</t>
        </is>
      </c>
      <c r="H52" s="14" t="inlineStr">
        <is>
          <t>21</t>
        </is>
      </c>
      <c r="I52" s="14" t="inlineStr">
        <is>
          <t>Bahnhoefe; Sicherheit</t>
        </is>
      </c>
      <c r="J52" s="14" t="inlineStr">
        <is>
          <t>21/3744</t>
        </is>
      </c>
      <c r="K52" s="15">
        <f>IF(OR(J52="",LEFT(E52,7)&lt;&gt;"Antwort"),"",IFERROR(A52-INDEX($A$2:$A$293,MATCH(J52,$D$2:$D$293,0)),""))</f>
        <v/>
      </c>
      <c r="L52" s="14">
        <f>IF(E52&lt;&gt;"Kleine Anfrage","",IFERROR(INDEX($D$2:$D$293,MATCH(D52,$J$2:$J$293,0)),"offen"))</f>
        <v/>
      </c>
      <c r="M52" s="14" t="inlineStr">
        <is>
          <t>Organisierte Bettelbanden auf deutschen Bahnhöfen und deren Bekämpfung durch Bundespolizei und Deutsche Bahn</t>
        </is>
      </c>
      <c r="N52" s="14" t="inlineStr">
        <is>
          <t>Bundesregierung</t>
        </is>
      </c>
      <c r="O52" s="16" t="inlineStr">
        <is>
          <t>PDF</t>
        </is>
      </c>
      <c r="P52" s="14" t="inlineStr">
        <is>
          <t>AfD</t>
        </is>
      </c>
      <c r="Q52" s="14" t="inlineStr"/>
      <c r="R52" s="14">
        <f>IF(COUNTIF(Abstimmungen!$B$5:$B$2000,D52)-COUNTIFS(Abstimmungen!$B$5:$B$2000,D52,Abstimmungen!$D$5:$D$2000,"*berweisung*")&gt;0,1,0)</f>
        <v/>
      </c>
    </row>
    <row r="53">
      <c r="A53" s="13" t="n">
        <v>46065</v>
      </c>
      <c r="B53" s="14">
        <f>IF(A53="","",YEAR(A53))</f>
        <v/>
      </c>
      <c r="C53" s="14">
        <f>IF(A53="","",YEAR(A53)&amp;"-Q"&amp;ROUNDUP(MONTH(A53)/3,0))</f>
        <v/>
      </c>
      <c r="D53" s="14" t="inlineStr">
        <is>
          <t>21/4141</t>
        </is>
      </c>
      <c r="E53" s="14" t="inlineStr">
        <is>
          <t>Antwort</t>
        </is>
      </c>
      <c r="F53" s="14" t="inlineStr">
        <is>
          <t>Bundesregierung</t>
        </is>
      </c>
      <c r="G53" s="14" t="inlineStr">
        <is>
          <t>Regierung</t>
        </is>
      </c>
      <c r="H53" s="14" t="inlineStr">
        <is>
          <t>21</t>
        </is>
      </c>
      <c r="I53" s="14" t="inlineStr">
        <is>
          <t>Bahnhoefe; Kriminalitaet</t>
        </is>
      </c>
      <c r="J53" s="14" t="inlineStr">
        <is>
          <t>21/3935</t>
        </is>
      </c>
      <c r="K53" s="15">
        <f>IF(OR(J53="",LEFT(E53,7)&lt;&gt;"Antwort"),"",IFERROR(A53-INDEX($A$2:$A$293,MATCH(J53,$D$2:$D$293,0)),""))</f>
        <v/>
      </c>
      <c r="L53" s="14">
        <f>IF(E53&lt;&gt;"Kleine Anfrage","",IFERROR(INDEX($D$2:$D$293,MATCH(D53,$J$2:$J$293,0)),"offen"))</f>
        <v/>
      </c>
      <c r="M53" s="14" t="inlineStr">
        <is>
          <t>Kriminalitätsfelder in Bezug auf Bahnhöfe und Züge im Vergleich der Jahre 2024 und 2025</t>
        </is>
      </c>
      <c r="N53" s="14" t="inlineStr">
        <is>
          <t>Bundesregierung</t>
        </is>
      </c>
      <c r="O53" s="16" t="inlineStr">
        <is>
          <t>PDF</t>
        </is>
      </c>
      <c r="P53" s="14" t="inlineStr">
        <is>
          <t>AfD</t>
        </is>
      </c>
      <c r="Q53" s="14" t="inlineStr"/>
      <c r="R53" s="14">
        <f>IF(COUNTIF(Abstimmungen!$B$5:$B$2000,D53)-COUNTIFS(Abstimmungen!$B$5:$B$2000,D53,Abstimmungen!$D$5:$D$2000,"*berweisung*")&gt;0,1,0)</f>
        <v/>
      </c>
    </row>
    <row r="54">
      <c r="A54" s="13" t="n">
        <v>46064</v>
      </c>
      <c r="B54" s="14">
        <f>IF(A54="","",YEAR(A54))</f>
        <v/>
      </c>
      <c r="C54" s="14">
        <f>IF(A54="","",YEAR(A54)&amp;"-Q"&amp;ROUNDUP(MONTH(A54)/3,0))</f>
        <v/>
      </c>
      <c r="D54" s="14" t="inlineStr">
        <is>
          <t>21/4102</t>
        </is>
      </c>
      <c r="E54" s="14" t="inlineStr">
        <is>
          <t>Antwort</t>
        </is>
      </c>
      <c r="F54" s="14" t="inlineStr">
        <is>
          <t>Bundesregierung</t>
        </is>
      </c>
      <c r="G54" s="14" t="inlineStr">
        <is>
          <t>Regierung</t>
        </is>
      </c>
      <c r="H54" s="14" t="inlineStr">
        <is>
          <t>21</t>
        </is>
      </c>
      <c r="I54" s="14" t="inlineStr">
        <is>
          <t>Bahnhoefe</t>
        </is>
      </c>
      <c r="J54" s="14" t="inlineStr">
        <is>
          <t>21/3851</t>
        </is>
      </c>
      <c r="K54" s="15">
        <f>IF(OR(J54="",LEFT(E54,7)&lt;&gt;"Antwort"),"",IFERROR(A54-INDEX($A$2:$A$293,MATCH(J54,$D$2:$D$293,0)),""))</f>
        <v/>
      </c>
      <c r="L54" s="14">
        <f>IF(E54&lt;&gt;"Kleine Anfrage","",IFERROR(INDEX($D$2:$D$293,MATCH(D54,$J$2:$J$293,0)),"offen"))</f>
        <v/>
      </c>
      <c r="M54" s="14" t="inlineStr">
        <is>
          <t>Öffentliche Toiletten an bayerischen Bahnhöfen</t>
        </is>
      </c>
      <c r="N54" s="14" t="inlineStr">
        <is>
          <t>Bundesregierung</t>
        </is>
      </c>
      <c r="O54" s="16" t="inlineStr">
        <is>
          <t>PDF</t>
        </is>
      </c>
      <c r="P54" s="14" t="inlineStr">
        <is>
          <t>Linke</t>
        </is>
      </c>
      <c r="Q54" s="14" t="inlineStr"/>
      <c r="R54" s="14">
        <f>IF(COUNTIF(Abstimmungen!$B$5:$B$2000,D54)-COUNTIFS(Abstimmungen!$B$5:$B$2000,D54,Abstimmungen!$D$5:$D$2000,"*berweisung*")&gt;0,1,0)</f>
        <v/>
      </c>
    </row>
    <row r="55">
      <c r="A55" s="13" t="n">
        <v>46063</v>
      </c>
      <c r="B55" s="14">
        <f>IF(A55="","",YEAR(A55))</f>
        <v/>
      </c>
      <c r="C55" s="14">
        <f>IF(A55="","",YEAR(A55)&amp;"-Q"&amp;ROUNDUP(MONTH(A55)/3,0))</f>
        <v/>
      </c>
      <c r="D55" s="14" t="inlineStr">
        <is>
          <t>21/4041</t>
        </is>
      </c>
      <c r="E55" s="14" t="inlineStr">
        <is>
          <t>Kleine Anfrage</t>
        </is>
      </c>
      <c r="F55" s="14" t="inlineStr">
        <is>
          <t>Linke</t>
        </is>
      </c>
      <c r="G55" s="14" t="inlineStr">
        <is>
          <t>Opposition</t>
        </is>
      </c>
      <c r="H55" s="14" t="inlineStr">
        <is>
          <t>21</t>
        </is>
      </c>
      <c r="I55" s="14" t="inlineStr">
        <is>
          <t>Infrastruktur/Netz; Sicherheit</t>
        </is>
      </c>
      <c r="J55" s="14" t="inlineStr"/>
      <c r="K55" s="15">
        <f>IF(OR(J55="",LEFT(E55,7)&lt;&gt;"Antwort"),"",IFERROR(A55-INDEX($A$2:$A$293,MATCH(J55,$D$2:$D$293,0)),""))</f>
        <v/>
      </c>
      <c r="L55" s="14">
        <f>IF(E55&lt;&gt;"Kleine Anfrage","",IFERROR(INDEX($D$2:$D$293,MATCH(D55,$J$2:$J$293,0)),"offen"))</f>
        <v/>
      </c>
      <c r="M55" s="14" t="inlineStr">
        <is>
          <t>Arbeits- und Sicherheitsvorgaben Schienenersatzverkehr im Rahmen der Generalsanierung der Bahnstrecke Hamburg-Berlin</t>
        </is>
      </c>
      <c r="N55" s="14" t="inlineStr">
        <is>
          <t>Fraktion DIE LINKE</t>
        </is>
      </c>
      <c r="O55" s="16" t="inlineStr">
        <is>
          <t>PDF</t>
        </is>
      </c>
      <c r="P55" s="14" t="inlineStr"/>
      <c r="Q55" s="14" t="inlineStr"/>
      <c r="R55" s="14">
        <f>IF(COUNTIF(Abstimmungen!$B$5:$B$2000,D55)-COUNTIFS(Abstimmungen!$B$5:$B$2000,D55,Abstimmungen!$D$5:$D$2000,"*berweisung*")&gt;0,1,0)</f>
        <v/>
      </c>
    </row>
    <row r="56">
      <c r="A56" s="13" t="n">
        <v>46063</v>
      </c>
      <c r="B56" s="14">
        <f>IF(A56="","",YEAR(A56))</f>
        <v/>
      </c>
      <c r="C56" s="14">
        <f>IF(A56="","",YEAR(A56)&amp;"-Q"&amp;ROUNDUP(MONTH(A56)/3,0))</f>
        <v/>
      </c>
      <c r="D56" s="14" t="inlineStr">
        <is>
          <t>21/4055</t>
        </is>
      </c>
      <c r="E56" s="14" t="inlineStr">
        <is>
          <t>Kleine Anfrage</t>
        </is>
      </c>
      <c r="F56" s="14" t="inlineStr">
        <is>
          <t>AfD</t>
        </is>
      </c>
      <c r="G56" s="14" t="inlineStr">
        <is>
          <t>Opposition</t>
        </is>
      </c>
      <c r="H56" s="14" t="inlineStr">
        <is>
          <t>21</t>
        </is>
      </c>
      <c r="I56" s="14" t="inlineStr">
        <is>
          <t>Bahnhoefe; Kriminalitaet</t>
        </is>
      </c>
      <c r="J56" s="14" t="inlineStr"/>
      <c r="K56" s="15">
        <f>IF(OR(J56="",LEFT(E56,7)&lt;&gt;"Antwort"),"",IFERROR(A56-INDEX($A$2:$A$293,MATCH(J56,$D$2:$D$293,0)),""))</f>
        <v/>
      </c>
      <c r="L56" s="14">
        <f>IF(E56&lt;&gt;"Kleine Anfrage","",IFERROR(INDEX($D$2:$D$293,MATCH(D56,$J$2:$J$293,0)),"offen"))</f>
        <v/>
      </c>
      <c r="M56" s="14" t="inlineStr">
        <is>
          <t>Kriminalitätsentwicklung am Bahnhof Ludwigsburg im Vergleich der Jahre 2024 und 2025</t>
        </is>
      </c>
      <c r="N56" s="14" t="inlineStr">
        <is>
          <t>Fraktion der AfD</t>
        </is>
      </c>
      <c r="O56" s="16" t="inlineStr">
        <is>
          <t>PDF</t>
        </is>
      </c>
      <c r="P56" s="14" t="inlineStr"/>
      <c r="Q56" s="14" t="inlineStr"/>
      <c r="R56" s="14">
        <f>IF(COUNTIF(Abstimmungen!$B$5:$B$2000,D56)-COUNTIFS(Abstimmungen!$B$5:$B$2000,D56,Abstimmungen!$D$5:$D$2000,"*berweisung*")&gt;0,1,0)</f>
        <v/>
      </c>
    </row>
    <row r="57">
      <c r="A57" s="13" t="n">
        <v>46062</v>
      </c>
      <c r="B57" s="14">
        <f>IF(A57="","",YEAR(A57))</f>
        <v/>
      </c>
      <c r="C57" s="14">
        <f>IF(A57="","",YEAR(A57)&amp;"-Q"&amp;ROUNDUP(MONTH(A57)/3,0))</f>
        <v/>
      </c>
      <c r="D57" s="14" t="inlineStr">
        <is>
          <t>21/4034</t>
        </is>
      </c>
      <c r="E57" s="14" t="inlineStr">
        <is>
          <t>Kleine Anfrage</t>
        </is>
      </c>
      <c r="F57" s="14" t="inlineStr">
        <is>
          <t>Linke</t>
        </is>
      </c>
      <c r="G57" s="14" t="inlineStr">
        <is>
          <t>Opposition</t>
        </is>
      </c>
      <c r="H57" s="14" t="inlineStr">
        <is>
          <t>21</t>
        </is>
      </c>
      <c r="I57" s="14" t="inlineStr">
        <is>
          <t>Deutschlandticket</t>
        </is>
      </c>
      <c r="J57" s="14" t="inlineStr"/>
      <c r="K57" s="15">
        <f>IF(OR(J57="",LEFT(E57,7)&lt;&gt;"Antwort"),"",IFERROR(A57-INDEX($A$2:$A$293,MATCH(J57,$D$2:$D$293,0)),""))</f>
        <v/>
      </c>
      <c r="L57" s="14">
        <f>IF(E57&lt;&gt;"Kleine Anfrage","",IFERROR(INDEX($D$2:$D$293,MATCH(D57,$J$2:$J$293,0)),"offen"))</f>
        <v/>
      </c>
      <c r="M57" s="14" t="inlineStr">
        <is>
          <t>Informationen zur Nutzung des Deutschlandtickets</t>
        </is>
      </c>
      <c r="N57" s="14" t="inlineStr">
        <is>
          <t>Fraktion DIE LINKE</t>
        </is>
      </c>
      <c r="O57" s="16" t="inlineStr">
        <is>
          <t>PDF</t>
        </is>
      </c>
      <c r="P57" s="14" t="inlineStr"/>
      <c r="Q57" s="14" t="inlineStr"/>
      <c r="R57" s="14">
        <f>IF(COUNTIF(Abstimmungen!$B$5:$B$2000,D57)-COUNTIFS(Abstimmungen!$B$5:$B$2000,D57,Abstimmungen!$D$5:$D$2000,"*berweisung*")&gt;0,1,0)</f>
        <v/>
      </c>
    </row>
    <row r="58">
      <c r="A58" s="13" t="n">
        <v>46057</v>
      </c>
      <c r="B58" s="14">
        <f>IF(A58="","",YEAR(A58))</f>
        <v/>
      </c>
      <c r="C58" s="14">
        <f>IF(A58="","",YEAR(A58)&amp;"-Q"&amp;ROUNDUP(MONTH(A58)/3,0))</f>
        <v/>
      </c>
      <c r="D58" s="14" t="inlineStr">
        <is>
          <t>21/3998</t>
        </is>
      </c>
      <c r="E58" s="14" t="inlineStr">
        <is>
          <t>Kleine Anfrage</t>
        </is>
      </c>
      <c r="F58" s="14" t="inlineStr">
        <is>
          <t>AfD</t>
        </is>
      </c>
      <c r="G58" s="14" t="inlineStr">
        <is>
          <t>Opposition</t>
        </is>
      </c>
      <c r="H58" s="14" t="inlineStr">
        <is>
          <t>21</t>
        </is>
      </c>
      <c r="I58" s="14" t="inlineStr">
        <is>
          <t>Sicherheit</t>
        </is>
      </c>
      <c r="J58" s="14" t="inlineStr"/>
      <c r="K58" s="15">
        <f>IF(OR(J58="",LEFT(E58,7)&lt;&gt;"Antwort"),"",IFERROR(A58-INDEX($A$2:$A$293,MATCH(J58,$D$2:$D$293,0)),""))</f>
        <v/>
      </c>
      <c r="L58" s="14">
        <f>IF(E58&lt;&gt;"Kleine Anfrage","",IFERROR(INDEX($D$2:$D$293,MATCH(D58,$J$2:$J$293,0)),"offen"))</f>
        <v/>
      </c>
      <c r="M58" s="14" t="inlineStr">
        <is>
          <t>Sicherheit und Sicherheitskosten im Bereich der Deutschen Bahn AG</t>
        </is>
      </c>
      <c r="N58" s="14" t="inlineStr">
        <is>
          <t>Fraktion der AfD</t>
        </is>
      </c>
      <c r="O58" s="16" t="inlineStr">
        <is>
          <t>PDF</t>
        </is>
      </c>
      <c r="P58" s="14" t="inlineStr"/>
      <c r="Q58" s="14" t="inlineStr"/>
      <c r="R58" s="14">
        <f>IF(COUNTIF(Abstimmungen!$B$5:$B$2000,D58)-COUNTIFS(Abstimmungen!$B$5:$B$2000,D58,Abstimmungen!$D$5:$D$2000,"*berweisung*")&gt;0,1,0)</f>
        <v/>
      </c>
    </row>
    <row r="59">
      <c r="A59" s="13" t="n">
        <v>46056</v>
      </c>
      <c r="B59" s="14">
        <f>IF(A59="","",YEAR(A59))</f>
        <v/>
      </c>
      <c r="C59" s="14">
        <f>IF(A59="","",YEAR(A59)&amp;"-Q"&amp;ROUNDUP(MONTH(A59)/3,0))</f>
        <v/>
      </c>
      <c r="D59" s="14" t="inlineStr">
        <is>
          <t>21/3966</t>
        </is>
      </c>
      <c r="E59" s="14" t="inlineStr">
        <is>
          <t>Kleine Anfrage</t>
        </is>
      </c>
      <c r="F59" s="14" t="inlineStr">
        <is>
          <t>AfD</t>
        </is>
      </c>
      <c r="G59" s="14" t="inlineStr">
        <is>
          <t>Opposition</t>
        </is>
      </c>
      <c r="H59" s="14" t="inlineStr">
        <is>
          <t>21</t>
        </is>
      </c>
      <c r="I59" s="14" t="inlineStr">
        <is>
          <t>Bahnhoefe; Kriminalitaet</t>
        </is>
      </c>
      <c r="J59" s="14" t="inlineStr"/>
      <c r="K59" s="15">
        <f>IF(OR(J59="",LEFT(E59,7)&lt;&gt;"Antwort"),"",IFERROR(A59-INDEX($A$2:$A$293,MATCH(J59,$D$2:$D$293,0)),""))</f>
        <v/>
      </c>
      <c r="L59" s="14">
        <f>IF(E59&lt;&gt;"Kleine Anfrage","",IFERROR(INDEX($D$2:$D$293,MATCH(D59,$J$2:$J$293,0)),"offen"))</f>
        <v/>
      </c>
      <c r="M59" s="14" t="inlineStr">
        <is>
          <t>Kriminalitätsfelder in Bezug auf Bahnhöfe und Züge in Baden-Württemberg im Vergleich der Jahre 2024 und 2025</t>
        </is>
      </c>
      <c r="N59" s="14" t="inlineStr">
        <is>
          <t>Fraktion der AfD</t>
        </is>
      </c>
      <c r="O59" s="16" t="inlineStr">
        <is>
          <t>PDF</t>
        </is>
      </c>
      <c r="P59" s="14" t="inlineStr"/>
      <c r="Q59" s="14" t="inlineStr">
        <is>
          <t>Bahnhöfe / Kriminalitätsfelder</t>
        </is>
      </c>
      <c r="R59" s="14">
        <f>IF(COUNTIF(Abstimmungen!$B$5:$B$2000,D59)-COUNTIFS(Abstimmungen!$B$5:$B$2000,D59,Abstimmungen!$D$5:$D$2000,"*berweisung*")&gt;0,1,0)</f>
        <v/>
      </c>
    </row>
    <row r="60">
      <c r="A60" s="13" t="n">
        <v>46052</v>
      </c>
      <c r="B60" s="14">
        <f>IF(A60="","",YEAR(A60))</f>
        <v/>
      </c>
      <c r="C60" s="14">
        <f>IF(A60="","",YEAR(A60)&amp;"-Q"&amp;ROUNDUP(MONTH(A60)/3,0))</f>
        <v/>
      </c>
      <c r="D60" s="14" t="inlineStr">
        <is>
          <t>21/3935</t>
        </is>
      </c>
      <c r="E60" s="14" t="inlineStr">
        <is>
          <t>Kleine Anfrage</t>
        </is>
      </c>
      <c r="F60" s="14" t="inlineStr">
        <is>
          <t>AfD</t>
        </is>
      </c>
      <c r="G60" s="14" t="inlineStr">
        <is>
          <t>Opposition</t>
        </is>
      </c>
      <c r="H60" s="14" t="inlineStr">
        <is>
          <t>21</t>
        </is>
      </c>
      <c r="I60" s="14" t="inlineStr">
        <is>
          <t>Bahnhoefe; Kriminalitaet</t>
        </is>
      </c>
      <c r="J60" s="14" t="inlineStr"/>
      <c r="K60" s="15">
        <f>IF(OR(J60="",LEFT(E60,7)&lt;&gt;"Antwort"),"",IFERROR(A60-INDEX($A$2:$A$293,MATCH(J60,$D$2:$D$293,0)),""))</f>
        <v/>
      </c>
      <c r="L60" s="14">
        <f>IF(E60&lt;&gt;"Kleine Anfrage","",IFERROR(INDEX($D$2:$D$293,MATCH(D60,$J$2:$J$293,0)),"offen"))</f>
        <v/>
      </c>
      <c r="M60" s="14" t="inlineStr">
        <is>
          <t>Kriminalitätsfelder in Bezug auf Bahnhöfe und Züge im Vergleich der Jahre 2024 und 2025</t>
        </is>
      </c>
      <c r="N60" s="14" t="inlineStr">
        <is>
          <t>Fraktion der AfD</t>
        </is>
      </c>
      <c r="O60" s="16" t="inlineStr">
        <is>
          <t>PDF</t>
        </is>
      </c>
      <c r="P60" s="14" t="inlineStr"/>
      <c r="Q60" s="14" t="inlineStr">
        <is>
          <t>Bahnhöfe / Kriminalitätsfelder</t>
        </is>
      </c>
      <c r="R60" s="14">
        <f>IF(COUNTIF(Abstimmungen!$B$5:$B$2000,D60)-COUNTIFS(Abstimmungen!$B$5:$B$2000,D60,Abstimmungen!$D$5:$D$2000,"*berweisung*")&gt;0,1,0)</f>
        <v/>
      </c>
    </row>
    <row r="61">
      <c r="A61" s="13" t="n">
        <v>46052</v>
      </c>
      <c r="B61" s="14">
        <f>IF(A61="","",YEAR(A61))</f>
        <v/>
      </c>
      <c r="C61" s="14">
        <f>IF(A61="","",YEAR(A61)&amp;"-Q"&amp;ROUNDUP(MONTH(A61)/3,0))</f>
        <v/>
      </c>
      <c r="D61" s="14" t="inlineStr">
        <is>
          <t>21/3934</t>
        </is>
      </c>
      <c r="E61" s="14" t="inlineStr">
        <is>
          <t>Kleine Anfrage</t>
        </is>
      </c>
      <c r="F61" s="14" t="inlineStr">
        <is>
          <t>AfD</t>
        </is>
      </c>
      <c r="G61" s="14" t="inlineStr">
        <is>
          <t>Opposition</t>
        </is>
      </c>
      <c r="H61" s="14" t="inlineStr">
        <is>
          <t>21</t>
        </is>
      </c>
      <c r="I61" s="14" t="inlineStr">
        <is>
          <t>Bahnhoefe; Kriminalitaet</t>
        </is>
      </c>
      <c r="J61" s="14" t="inlineStr"/>
      <c r="K61" s="15">
        <f>IF(OR(J61="",LEFT(E61,7)&lt;&gt;"Antwort"),"",IFERROR(A61-INDEX($A$2:$A$293,MATCH(J61,$D$2:$D$293,0)),""))</f>
        <v/>
      </c>
      <c r="L61" s="14">
        <f>IF(E61&lt;&gt;"Kleine Anfrage","",IFERROR(INDEX($D$2:$D$293,MATCH(D61,$J$2:$J$293,0)),"offen"))</f>
        <v/>
      </c>
      <c r="M61" s="14" t="inlineStr">
        <is>
          <t>Kriminalitätsfelder in Bezug auf Bahnhöfe und Züge in Rheinland-Pfalz im Vergleich der Jahre 2024 und 2025</t>
        </is>
      </c>
      <c r="N61" s="14" t="inlineStr">
        <is>
          <t>Fraktion der AfD</t>
        </is>
      </c>
      <c r="O61" s="16" t="inlineStr">
        <is>
          <t>PDF</t>
        </is>
      </c>
      <c r="P61" s="14" t="inlineStr"/>
      <c r="Q61" s="14" t="inlineStr">
        <is>
          <t>Bahnhöfe / Kriminalitätsfelder</t>
        </is>
      </c>
      <c r="R61" s="14">
        <f>IF(COUNTIF(Abstimmungen!$B$5:$B$2000,D61)-COUNTIFS(Abstimmungen!$B$5:$B$2000,D61,Abstimmungen!$D$5:$D$2000,"*berweisung*")&gt;0,1,0)</f>
        <v/>
      </c>
    </row>
    <row r="62">
      <c r="A62" s="13" t="n">
        <v>46050</v>
      </c>
      <c r="B62" s="14">
        <f>IF(A62="","",YEAR(A62))</f>
        <v/>
      </c>
      <c r="C62" s="14">
        <f>IF(A62="","",YEAR(A62)&amp;"-Q"&amp;ROUNDUP(MONTH(A62)/3,0))</f>
        <v/>
      </c>
      <c r="D62" s="14" t="inlineStr">
        <is>
          <t>21/3851</t>
        </is>
      </c>
      <c r="E62" s="14" t="inlineStr">
        <is>
          <t>Kleine Anfrage</t>
        </is>
      </c>
      <c r="F62" s="14" t="inlineStr">
        <is>
          <t>Linke</t>
        </is>
      </c>
      <c r="G62" s="14" t="inlineStr">
        <is>
          <t>Opposition</t>
        </is>
      </c>
      <c r="H62" s="14" t="inlineStr">
        <is>
          <t>21</t>
        </is>
      </c>
      <c r="I62" s="14" t="inlineStr">
        <is>
          <t>Bahnhoefe</t>
        </is>
      </c>
      <c r="J62" s="14" t="inlineStr"/>
      <c r="K62" s="15">
        <f>IF(OR(J62="",LEFT(E62,7)&lt;&gt;"Antwort"),"",IFERROR(A62-INDEX($A$2:$A$293,MATCH(J62,$D$2:$D$293,0)),""))</f>
        <v/>
      </c>
      <c r="L62" s="14">
        <f>IF(E62&lt;&gt;"Kleine Anfrage","",IFERROR(INDEX($D$2:$D$293,MATCH(D62,$J$2:$J$293,0)),"offen"))</f>
        <v/>
      </c>
      <c r="M62" s="14" t="inlineStr">
        <is>
          <t>Öffentliche Toiletten an bayerischen Bahnhöfen</t>
        </is>
      </c>
      <c r="N62" s="14" t="inlineStr">
        <is>
          <t>Fraktion DIE LINKE</t>
        </is>
      </c>
      <c r="O62" s="16" t="inlineStr">
        <is>
          <t>PDF</t>
        </is>
      </c>
      <c r="P62" s="14" t="inlineStr"/>
      <c r="Q62" s="14" t="inlineStr"/>
      <c r="R62" s="14">
        <f>IF(COUNTIF(Abstimmungen!$B$5:$B$2000,D62)-COUNTIFS(Abstimmungen!$B$5:$B$2000,D62,Abstimmungen!$D$5:$D$2000,"*berweisung*")&gt;0,1,0)</f>
        <v/>
      </c>
    </row>
    <row r="63">
      <c r="A63" s="13" t="n">
        <v>46043</v>
      </c>
      <c r="B63" s="14">
        <f>IF(A63="","",YEAR(A63))</f>
        <v/>
      </c>
      <c r="C63" s="14">
        <f>IF(A63="","",YEAR(A63)&amp;"-Q"&amp;ROUNDUP(MONTH(A63)/3,0))</f>
        <v/>
      </c>
      <c r="D63" s="14" t="inlineStr">
        <is>
          <t>21/3744</t>
        </is>
      </c>
      <c r="E63" s="14" t="inlineStr">
        <is>
          <t>Kleine Anfrage</t>
        </is>
      </c>
      <c r="F63" s="14" t="inlineStr">
        <is>
          <t>AfD</t>
        </is>
      </c>
      <c r="G63" s="14" t="inlineStr">
        <is>
          <t>Opposition</t>
        </is>
      </c>
      <c r="H63" s="14" t="inlineStr">
        <is>
          <t>21</t>
        </is>
      </c>
      <c r="I63" s="14" t="inlineStr">
        <is>
          <t>Bahnhoefe; Sicherheit</t>
        </is>
      </c>
      <c r="J63" s="14" t="inlineStr"/>
      <c r="K63" s="15">
        <f>IF(OR(J63="",LEFT(E63,7)&lt;&gt;"Antwort"),"",IFERROR(A63-INDEX($A$2:$A$293,MATCH(J63,$D$2:$D$293,0)),""))</f>
        <v/>
      </c>
      <c r="L63" s="14">
        <f>IF(E63&lt;&gt;"Kleine Anfrage","",IFERROR(INDEX($D$2:$D$293,MATCH(D63,$J$2:$J$293,0)),"offen"))</f>
        <v/>
      </c>
      <c r="M63" s="14" t="inlineStr">
        <is>
          <t>Organisierte Bettelbanden auf deutschen Bahnhöfen und deren Bekämpfung durch Bundespolizei und Deutsche Bahn</t>
        </is>
      </c>
      <c r="N63" s="14" t="inlineStr">
        <is>
          <t>Fraktion der AfD</t>
        </is>
      </c>
      <c r="O63" s="16" t="inlineStr">
        <is>
          <t>PDF</t>
        </is>
      </c>
      <c r="P63" s="14" t="inlineStr"/>
      <c r="Q63" s="14" t="inlineStr"/>
      <c r="R63" s="14">
        <f>IF(COUNTIF(Abstimmungen!$B$5:$B$2000,D63)-COUNTIFS(Abstimmungen!$B$5:$B$2000,D63,Abstimmungen!$D$5:$D$2000,"*berweisung*")&gt;0,1,0)</f>
        <v/>
      </c>
    </row>
    <row r="64">
      <c r="A64" s="13" t="n">
        <v>46035</v>
      </c>
      <c r="B64" s="14">
        <f>IF(A64="","",YEAR(A64))</f>
        <v/>
      </c>
      <c r="C64" s="14">
        <f>IF(A64="","",YEAR(A64)&amp;"-Q"&amp;ROUNDUP(MONTH(A64)/3,0))</f>
        <v/>
      </c>
      <c r="D64" s="14" t="inlineStr">
        <is>
          <t>21/3595</t>
        </is>
      </c>
      <c r="E64" s="14" t="inlineStr">
        <is>
          <t>Antwort</t>
        </is>
      </c>
      <c r="F64" s="14" t="inlineStr">
        <is>
          <t>Bundesregierung</t>
        </is>
      </c>
      <c r="G64" s="14" t="inlineStr">
        <is>
          <t>Regierung</t>
        </is>
      </c>
      <c r="H64" s="14" t="inlineStr">
        <is>
          <t>21</t>
        </is>
      </c>
      <c r="I64" s="14" t="inlineStr">
        <is>
          <t>Infrastruktur/Netz</t>
        </is>
      </c>
      <c r="J64" s="14" t="inlineStr">
        <is>
          <t>21/3238</t>
        </is>
      </c>
      <c r="K64" s="15">
        <f>IF(OR(J64="",LEFT(E64,7)&lt;&gt;"Antwort"),"",IFERROR(A64-INDEX($A$2:$A$293,MATCH(J64,$D$2:$D$293,0)),""))</f>
        <v/>
      </c>
      <c r="L64" s="14">
        <f>IF(E64&lt;&gt;"Kleine Anfrage","",IFERROR(INDEX($D$2:$D$293,MATCH(D64,$J$2:$J$293,0)),"offen"))</f>
        <v/>
      </c>
      <c r="M64" s="14" t="inlineStr">
        <is>
          <t>Elektrifizierungsquote und Ausbauvorhaben im Schienennetz Bayerns im Herbst 2025</t>
        </is>
      </c>
      <c r="N64" s="14" t="inlineStr">
        <is>
          <t>Bundesregierung</t>
        </is>
      </c>
      <c r="O64" s="16" t="inlineStr">
        <is>
          <t>PDF</t>
        </is>
      </c>
      <c r="P64" s="14" t="inlineStr">
        <is>
          <t>Gruene</t>
        </is>
      </c>
      <c r="Q64" s="14" t="inlineStr"/>
      <c r="R64" s="14">
        <f>IF(COUNTIF(Abstimmungen!$B$5:$B$2000,D64)-COUNTIFS(Abstimmungen!$B$5:$B$2000,D64,Abstimmungen!$D$5:$D$2000,"*berweisung*")&gt;0,1,0)</f>
        <v/>
      </c>
    </row>
    <row r="65">
      <c r="A65" s="13" t="n">
        <v>46030</v>
      </c>
      <c r="B65" s="14">
        <f>IF(A65="","",YEAR(A65))</f>
        <v/>
      </c>
      <c r="C65" s="14">
        <f>IF(A65="","",YEAR(A65)&amp;"-Q"&amp;ROUNDUP(MONTH(A65)/3,0))</f>
        <v/>
      </c>
      <c r="D65" s="14" t="inlineStr">
        <is>
          <t>21/3563</t>
        </is>
      </c>
      <c r="E65" s="14" t="inlineStr">
        <is>
          <t>Antwort</t>
        </is>
      </c>
      <c r="F65" s="14" t="inlineStr">
        <is>
          <t>Bundesregierung</t>
        </is>
      </c>
      <c r="G65" s="14" t="inlineStr">
        <is>
          <t>Regierung</t>
        </is>
      </c>
      <c r="H65" s="14" t="inlineStr">
        <is>
          <t>21</t>
        </is>
      </c>
      <c r="I65" s="14" t="inlineStr">
        <is>
          <t>Konzernstruktur/DB AG</t>
        </is>
      </c>
      <c r="J65" s="14" t="inlineStr">
        <is>
          <t>21/3018</t>
        </is>
      </c>
      <c r="K65" s="15">
        <f>IF(OR(J65="",LEFT(E65,7)&lt;&gt;"Antwort"),"",IFERROR(A65-INDEX($A$2:$A$293,MATCH(J65,$D$2:$D$293,0)),""))</f>
        <v/>
      </c>
      <c r="L65" s="14">
        <f>IF(E65&lt;&gt;"Kleine Anfrage","",IFERROR(INDEX($D$2:$D$293,MATCH(D65,$J$2:$J$293,0)),"offen"))</f>
        <v/>
      </c>
      <c r="M65" s="14" t="inlineStr">
        <is>
          <t>Deutsche Bahn AG und die Zukunft des grünen Stahls in Deutschland AG</t>
        </is>
      </c>
      <c r="N65" s="14" t="inlineStr">
        <is>
          <t>Bundesregierung</t>
        </is>
      </c>
      <c r="O65" s="16" t="inlineStr">
        <is>
          <t>PDF</t>
        </is>
      </c>
      <c r="P65" s="14" t="inlineStr">
        <is>
          <t>Gruene</t>
        </is>
      </c>
      <c r="Q65" s="14" t="inlineStr"/>
      <c r="R65" s="14">
        <f>IF(COUNTIF(Abstimmungen!$B$5:$B$2000,D65)-COUNTIFS(Abstimmungen!$B$5:$B$2000,D65,Abstimmungen!$D$5:$D$2000,"*berweisung*")&gt;0,1,0)</f>
        <v/>
      </c>
    </row>
    <row r="66">
      <c r="A66" s="13" t="n">
        <v>46030</v>
      </c>
      <c r="B66" s="14">
        <f>IF(A66="","",YEAR(A66))</f>
        <v/>
      </c>
      <c r="C66" s="14">
        <f>IF(A66="","",YEAR(A66)&amp;"-Q"&amp;ROUNDUP(MONTH(A66)/3,0))</f>
        <v/>
      </c>
      <c r="D66" s="14" t="inlineStr">
        <is>
          <t>21/3533</t>
        </is>
      </c>
      <c r="E66" s="14" t="inlineStr">
        <is>
          <t>Antwort</t>
        </is>
      </c>
      <c r="F66" s="14" t="inlineStr">
        <is>
          <t>Bundesregierung</t>
        </is>
      </c>
      <c r="G66" s="14" t="inlineStr">
        <is>
          <t>Regierung</t>
        </is>
      </c>
      <c r="H66" s="14" t="inlineStr">
        <is>
          <t>21</t>
        </is>
      </c>
      <c r="I66" s="14" t="inlineStr">
        <is>
          <t>Konzernstruktur/DB AG</t>
        </is>
      </c>
      <c r="J66" s="14" t="inlineStr">
        <is>
          <t>21/2806</t>
        </is>
      </c>
      <c r="K66" s="15">
        <f>IF(OR(J66="",LEFT(E66,7)&lt;&gt;"Antwort"),"",IFERROR(A66-INDEX($A$2:$A$293,MATCH(J66,$D$2:$D$293,0)),""))</f>
        <v/>
      </c>
      <c r="L66" s="14">
        <f>IF(E66&lt;&gt;"Kleine Anfrage","",IFERROR(INDEX($D$2:$D$293,MATCH(D66,$J$2:$J$293,0)),"offen"))</f>
        <v/>
      </c>
      <c r="M66" s="14" t="inlineStr">
        <is>
          <t>Boni für Vorstandsmitglieder und Aufsichtsratsmitglieder der Deutsche Bahn Aktiengesellschaft</t>
        </is>
      </c>
      <c r="N66" s="14" t="inlineStr">
        <is>
          <t>Bundesregierung</t>
        </is>
      </c>
      <c r="O66" s="16" t="inlineStr">
        <is>
          <t>PDF</t>
        </is>
      </c>
      <c r="P66" s="14" t="inlineStr">
        <is>
          <t>AfD</t>
        </is>
      </c>
      <c r="Q66" s="14" t="inlineStr"/>
      <c r="R66" s="14">
        <f>IF(COUNTIF(Abstimmungen!$B$5:$B$2000,D66)-COUNTIFS(Abstimmungen!$B$5:$B$2000,D66,Abstimmungen!$D$5:$D$2000,"*berweisung*")&gt;0,1,0)</f>
        <v/>
      </c>
    </row>
    <row r="67">
      <c r="A67" s="13" t="n">
        <v>46013</v>
      </c>
      <c r="B67" s="14">
        <f>IF(A67="","",YEAR(A67))</f>
        <v/>
      </c>
      <c r="C67" s="14">
        <f>IF(A67="","",YEAR(A67)&amp;"-Q"&amp;ROUNDUP(MONTH(A67)/3,0))</f>
        <v/>
      </c>
      <c r="D67" s="14" t="inlineStr">
        <is>
          <t>21/3468</t>
        </is>
      </c>
      <c r="E67" s="14" t="inlineStr">
        <is>
          <t>Antwort</t>
        </is>
      </c>
      <c r="F67" s="14" t="inlineStr">
        <is>
          <t>Bundesregierung</t>
        </is>
      </c>
      <c r="G67" s="14" t="inlineStr">
        <is>
          <t>Regierung</t>
        </is>
      </c>
      <c r="H67" s="14" t="inlineStr">
        <is>
          <t>21</t>
        </is>
      </c>
      <c r="I67" s="14" t="inlineStr">
        <is>
          <t>Infrastruktur/Netz</t>
        </is>
      </c>
      <c r="J67" s="14" t="inlineStr">
        <is>
          <t>21/2883</t>
        </is>
      </c>
      <c r="K67" s="15">
        <f>IF(OR(J67="",LEFT(E67,7)&lt;&gt;"Antwort"),"",IFERROR(A67-INDEX($A$2:$A$293,MATCH(J67,$D$2:$D$293,0)),""))</f>
        <v/>
      </c>
      <c r="L67" s="14">
        <f>IF(E67&lt;&gt;"Kleine Anfrage","",IFERROR(INDEX($D$2:$D$293,MATCH(D67,$J$2:$J$293,0)),"offen"))</f>
        <v/>
      </c>
      <c r="M67" s="14" t="inlineStr">
        <is>
          <t>Umsetzung von kleinen und mittleren Maßnahmen auf überlasteten Schienenwegen im Schienennetz bis 2030</t>
        </is>
      </c>
      <c r="N67" s="14" t="inlineStr">
        <is>
          <t>Bundesregierung</t>
        </is>
      </c>
      <c r="O67" s="16" t="inlineStr">
        <is>
          <t>PDF</t>
        </is>
      </c>
      <c r="P67" s="14" t="inlineStr">
        <is>
          <t>Gruene</t>
        </is>
      </c>
      <c r="Q67" s="14" t="inlineStr"/>
      <c r="R67" s="14">
        <f>IF(COUNTIF(Abstimmungen!$B$5:$B$2000,D67)-COUNTIFS(Abstimmungen!$B$5:$B$2000,D67,Abstimmungen!$D$5:$D$2000,"*berweisung*")&gt;0,1,0)</f>
        <v/>
      </c>
    </row>
    <row r="68">
      <c r="A68" s="13" t="n">
        <v>46002</v>
      </c>
      <c r="B68" s="14">
        <f>IF(A68="","",YEAR(A68))</f>
        <v/>
      </c>
      <c r="C68" s="14">
        <f>IF(A68="","",YEAR(A68)&amp;"-Q"&amp;ROUNDUP(MONTH(A68)/3,0))</f>
        <v/>
      </c>
      <c r="D68" s="14" t="inlineStr">
        <is>
          <t>21/3238</t>
        </is>
      </c>
      <c r="E68" s="14" t="inlineStr">
        <is>
          <t>Kleine Anfrage</t>
        </is>
      </c>
      <c r="F68" s="14" t="inlineStr">
        <is>
          <t>Gruene</t>
        </is>
      </c>
      <c r="G68" s="14" t="inlineStr">
        <is>
          <t>Opposition</t>
        </is>
      </c>
      <c r="H68" s="14" t="inlineStr">
        <is>
          <t>21</t>
        </is>
      </c>
      <c r="I68" s="14" t="inlineStr">
        <is>
          <t>Infrastruktur/Netz</t>
        </is>
      </c>
      <c r="J68" s="14" t="inlineStr"/>
      <c r="K68" s="15">
        <f>IF(OR(J68="",LEFT(E68,7)&lt;&gt;"Antwort"),"",IFERROR(A68-INDEX($A$2:$A$293,MATCH(J68,$D$2:$D$293,0)),""))</f>
        <v/>
      </c>
      <c r="L68" s="14">
        <f>IF(E68&lt;&gt;"Kleine Anfrage","",IFERROR(INDEX($D$2:$D$293,MATCH(D68,$J$2:$J$293,0)),"offen"))</f>
        <v/>
      </c>
      <c r="M68" s="14" t="inlineStr">
        <is>
          <t>Elektrifizierungsquote und Ausbauvorhaben im Schienennetz Bayerns im Herbst 2025</t>
        </is>
      </c>
      <c r="N68" s="14" t="inlineStr">
        <is>
          <t>Fraktion BÜNDNIS 90/DIE GRÜNEN</t>
        </is>
      </c>
      <c r="O68" s="16" t="inlineStr">
        <is>
          <t>PDF</t>
        </is>
      </c>
      <c r="P68" s="14" t="inlineStr"/>
      <c r="Q68" s="14" t="inlineStr"/>
      <c r="R68" s="14">
        <f>IF(COUNTIF(Abstimmungen!$B$5:$B$2000,D68)-COUNTIFS(Abstimmungen!$B$5:$B$2000,D68,Abstimmungen!$D$5:$D$2000,"*berweisung*")&gt;0,1,0)</f>
        <v/>
      </c>
    </row>
    <row r="69">
      <c r="A69" s="13" t="n">
        <v>46002</v>
      </c>
      <c r="B69" s="14">
        <f>IF(A69="","",YEAR(A69))</f>
        <v/>
      </c>
      <c r="C69" s="14">
        <f>IF(A69="","",YEAR(A69)&amp;"-Q"&amp;ROUNDUP(MONTH(A69)/3,0))</f>
        <v/>
      </c>
      <c r="D69" s="14" t="inlineStr">
        <is>
          <t>21/3243</t>
        </is>
      </c>
      <c r="E69" s="14" t="inlineStr">
        <is>
          <t>Antwort</t>
        </is>
      </c>
      <c r="F69" s="14" t="inlineStr">
        <is>
          <t>Bundesregierung</t>
        </is>
      </c>
      <c r="G69" s="14" t="inlineStr">
        <is>
          <t>Regierung</t>
        </is>
      </c>
      <c r="H69" s="14" t="inlineStr">
        <is>
          <t>21</t>
        </is>
      </c>
      <c r="I69" s="14" t="inlineStr">
        <is>
          <t>Infrastruktur/Netz</t>
        </is>
      </c>
      <c r="J69" s="14" t="inlineStr">
        <is>
          <t>21/2644</t>
        </is>
      </c>
      <c r="K69" s="15">
        <f>IF(OR(J69="",LEFT(E69,7)&lt;&gt;"Antwort"),"",IFERROR(A69-INDEX($A$2:$A$293,MATCH(J69,$D$2:$D$293,0)),""))</f>
        <v/>
      </c>
      <c r="L69" s="14">
        <f>IF(E69&lt;&gt;"Kleine Anfrage","",IFERROR(INDEX($D$2:$D$293,MATCH(D69,$J$2:$J$293,0)),"offen"))</f>
        <v/>
      </c>
      <c r="M69" s="14" t="inlineStr">
        <is>
          <t>Geschwindigkeitsreduzierung auf der Bahnstrecke München-Buchloe und weiterer Strecken</t>
        </is>
      </c>
      <c r="N69" s="14" t="inlineStr">
        <is>
          <t>Bundesregierung</t>
        </is>
      </c>
      <c r="O69" s="16" t="inlineStr">
        <is>
          <t>PDF</t>
        </is>
      </c>
      <c r="P69" s="14" t="inlineStr">
        <is>
          <t>Gruene</t>
        </is>
      </c>
      <c r="Q69" s="14" t="inlineStr"/>
      <c r="R69" s="14">
        <f>IF(COUNTIF(Abstimmungen!$B$5:$B$2000,D69)-COUNTIFS(Abstimmungen!$B$5:$B$2000,D69,Abstimmungen!$D$5:$D$2000,"*berweisung*")&gt;0,1,0)</f>
        <v/>
      </c>
    </row>
    <row r="70">
      <c r="A70" s="13" t="n">
        <v>45999</v>
      </c>
      <c r="B70" s="14">
        <f>IF(A70="","",YEAR(A70))</f>
        <v/>
      </c>
      <c r="C70" s="14">
        <f>IF(A70="","",YEAR(A70)&amp;"-Q"&amp;ROUNDUP(MONTH(A70)/3,0))</f>
        <v/>
      </c>
      <c r="D70" s="14" t="inlineStr">
        <is>
          <t>21/3163</t>
        </is>
      </c>
      <c r="E70" s="14" t="inlineStr">
        <is>
          <t>Antwort</t>
        </is>
      </c>
      <c r="F70" s="14" t="inlineStr">
        <is>
          <t>Bundesregierung</t>
        </is>
      </c>
      <c r="G70" s="14" t="inlineStr">
        <is>
          <t>Regierung</t>
        </is>
      </c>
      <c r="H70" s="14" t="inlineStr">
        <is>
          <t>21</t>
        </is>
      </c>
      <c r="I70" s="14" t="inlineStr">
        <is>
          <t>Bahnhoefe</t>
        </is>
      </c>
      <c r="J70" s="14" t="inlineStr">
        <is>
          <t>21/2704</t>
        </is>
      </c>
      <c r="K70" s="15">
        <f>IF(OR(J70="",LEFT(E70,7)&lt;&gt;"Antwort"),"",IFERROR(A70-INDEX($A$2:$A$293,MATCH(J70,$D$2:$D$293,0)),""))</f>
        <v/>
      </c>
      <c r="L70" s="14">
        <f>IF(E70&lt;&gt;"Kleine Anfrage","",IFERROR(INDEX($D$2:$D$293,MATCH(D70,$J$2:$J$293,0)),"offen"))</f>
        <v/>
      </c>
      <c r="M70" s="14" t="inlineStr">
        <is>
          <t>Toiletten an Bahnhöfen als Teil der öffentlichen Daseinsvorsorge</t>
        </is>
      </c>
      <c r="N70" s="14" t="inlineStr">
        <is>
          <t>Bundesregierung</t>
        </is>
      </c>
      <c r="O70" s="16" t="inlineStr">
        <is>
          <t>PDF</t>
        </is>
      </c>
      <c r="P70" s="14" t="inlineStr">
        <is>
          <t>Linke</t>
        </is>
      </c>
      <c r="Q70" s="14" t="inlineStr"/>
      <c r="R70" s="14">
        <f>IF(COUNTIF(Abstimmungen!$B$5:$B$2000,D70)-COUNTIFS(Abstimmungen!$B$5:$B$2000,D70,Abstimmungen!$D$5:$D$2000,"*berweisung*")&gt;0,1,0)</f>
        <v/>
      </c>
    </row>
    <row r="71">
      <c r="A71" s="13" t="n">
        <v>45993</v>
      </c>
      <c r="B71" s="14">
        <f>IF(A71="","",YEAR(A71))</f>
        <v/>
      </c>
      <c r="C71" s="14">
        <f>IF(A71="","",YEAR(A71)&amp;"-Q"&amp;ROUNDUP(MONTH(A71)/3,0))</f>
        <v/>
      </c>
      <c r="D71" s="14" t="inlineStr">
        <is>
          <t>21/3018</t>
        </is>
      </c>
      <c r="E71" s="14" t="inlineStr">
        <is>
          <t>Kleine Anfrage</t>
        </is>
      </c>
      <c r="F71" s="14" t="inlineStr">
        <is>
          <t>Gruene</t>
        </is>
      </c>
      <c r="G71" s="14" t="inlineStr">
        <is>
          <t>Opposition</t>
        </is>
      </c>
      <c r="H71" s="14" t="inlineStr">
        <is>
          <t>21</t>
        </is>
      </c>
      <c r="I71" s="14" t="inlineStr">
        <is>
          <t>Sonstiges</t>
        </is>
      </c>
      <c r="J71" s="14" t="inlineStr"/>
      <c r="K71" s="15">
        <f>IF(OR(J71="",LEFT(E71,7)&lt;&gt;"Antwort"),"",IFERROR(A71-INDEX($A$2:$A$293,MATCH(J71,$D$2:$D$293,0)),""))</f>
        <v/>
      </c>
      <c r="L71" s="14">
        <f>IF(E71&lt;&gt;"Kleine Anfrage","",IFERROR(INDEX($D$2:$D$293,MATCH(D71,$J$2:$J$293,0)),"offen"))</f>
        <v/>
      </c>
      <c r="M71" s="14" t="inlineStr">
        <is>
          <t>Deutsche Bahn und die Zukunft des grünen Stahls in Deutschland</t>
        </is>
      </c>
      <c r="N71" s="14" t="inlineStr">
        <is>
          <t>Fraktion BÜNDNIS 90/DIE GRÜNEN</t>
        </is>
      </c>
      <c r="O71" s="16" t="inlineStr">
        <is>
          <t>PDF</t>
        </is>
      </c>
      <c r="P71" s="14" t="inlineStr"/>
      <c r="Q71" s="14" t="inlineStr"/>
      <c r="R71" s="14">
        <f>IF(COUNTIF(Abstimmungen!$B$5:$B$2000,D71)-COUNTIFS(Abstimmungen!$B$5:$B$2000,D71,Abstimmungen!$D$5:$D$2000,"*berweisung*")&gt;0,1,0)</f>
        <v/>
      </c>
    </row>
    <row r="72">
      <c r="A72" s="13" t="n">
        <v>45985</v>
      </c>
      <c r="B72" s="14">
        <f>IF(A72="","",YEAR(A72))</f>
        <v/>
      </c>
      <c r="C72" s="14">
        <f>IF(A72="","",YEAR(A72)&amp;"-Q"&amp;ROUNDUP(MONTH(A72)/3,0))</f>
        <v/>
      </c>
      <c r="D72" s="14" t="inlineStr">
        <is>
          <t>21/2883</t>
        </is>
      </c>
      <c r="E72" s="14" t="inlineStr">
        <is>
          <t>Kleine Anfrage</t>
        </is>
      </c>
      <c r="F72" s="14" t="inlineStr">
        <is>
          <t>Gruene</t>
        </is>
      </c>
      <c r="G72" s="14" t="inlineStr">
        <is>
          <t>Opposition</t>
        </is>
      </c>
      <c r="H72" s="14" t="inlineStr">
        <is>
          <t>21</t>
        </is>
      </c>
      <c r="I72" s="14" t="inlineStr">
        <is>
          <t>Infrastruktur/Netz</t>
        </is>
      </c>
      <c r="J72" s="14" t="inlineStr"/>
      <c r="K72" s="15">
        <f>IF(OR(J72="",LEFT(E72,7)&lt;&gt;"Antwort"),"",IFERROR(A72-INDEX($A$2:$A$293,MATCH(J72,$D$2:$D$293,0)),""))</f>
        <v/>
      </c>
      <c r="L72" s="14">
        <f>IF(E72&lt;&gt;"Kleine Anfrage","",IFERROR(INDEX($D$2:$D$293,MATCH(D72,$J$2:$J$293,0)),"offen"))</f>
        <v/>
      </c>
      <c r="M72" s="14" t="inlineStr">
        <is>
          <t>Umsetzung von kleinen und mittleren Maßnahmen auf überlasteten Schienenwegen im Schienennetz bis 2030</t>
        </is>
      </c>
      <c r="N72" s="14" t="inlineStr">
        <is>
          <t>Fraktion BÜNDNIS 90/DIE GRÜNEN</t>
        </is>
      </c>
      <c r="O72" s="16" t="inlineStr">
        <is>
          <t>PDF</t>
        </is>
      </c>
      <c r="P72" s="14" t="inlineStr"/>
      <c r="Q72" s="14" t="inlineStr"/>
      <c r="R72" s="14">
        <f>IF(COUNTIF(Abstimmungen!$B$5:$B$2000,D72)-COUNTIFS(Abstimmungen!$B$5:$B$2000,D72,Abstimmungen!$D$5:$D$2000,"*berweisung*")&gt;0,1,0)</f>
        <v/>
      </c>
    </row>
    <row r="73">
      <c r="A73" s="13" t="n">
        <v>45980</v>
      </c>
      <c r="B73" s="14">
        <f>IF(A73="","",YEAR(A73))</f>
        <v/>
      </c>
      <c r="C73" s="14">
        <f>IF(A73="","",YEAR(A73)&amp;"-Q"&amp;ROUNDUP(MONTH(A73)/3,0))</f>
        <v/>
      </c>
      <c r="D73" s="14" t="inlineStr">
        <is>
          <t>21/2870</t>
        </is>
      </c>
      <c r="E73" s="14" t="inlineStr">
        <is>
          <t>Ergänzende Antwort</t>
        </is>
      </c>
      <c r="F73" s="14" t="inlineStr">
        <is>
          <t>Bundesregierung</t>
        </is>
      </c>
      <c r="G73" s="14" t="inlineStr">
        <is>
          <t>Regierung</t>
        </is>
      </c>
      <c r="H73" s="14" t="inlineStr">
        <is>
          <t>21</t>
        </is>
      </c>
      <c r="I73" s="14" t="inlineStr">
        <is>
          <t>Konzernstruktur/DB AG</t>
        </is>
      </c>
      <c r="J73" s="14" t="inlineStr">
        <is>
          <t>21/665</t>
        </is>
      </c>
      <c r="K73" s="15">
        <f>IF(OR(J73="",LEFT(E73,7)&lt;&gt;"Antwort"),"",IFERROR(A73-INDEX($A$2:$A$293,MATCH(J73,$D$2:$D$293,0)),""))</f>
        <v/>
      </c>
      <c r="L73" s="14">
        <f>IF(E73&lt;&gt;"Kleine Anfrage","",IFERROR(INDEX($D$2:$D$293,MATCH(D73,$J$2:$J$293,0)),"offen"))</f>
        <v/>
      </c>
      <c r="M73" s="14" t="inlineStr">
        <is>
          <t>Entwicklung Gesamtwert Infrastruktur-Großprojekte sowie Zeitpläne der Deutschen Bahn InfraGO</t>
        </is>
      </c>
      <c r="N73" s="14" t="inlineStr">
        <is>
          <t>Bundesregierung</t>
        </is>
      </c>
      <c r="O73" s="16" t="inlineStr">
        <is>
          <t>PDF</t>
        </is>
      </c>
      <c r="P73" s="14" t="inlineStr"/>
      <c r="Q73" s="14" t="inlineStr"/>
      <c r="R73" s="14">
        <f>IF(COUNTIF(Abstimmungen!$B$5:$B$2000,D73)-COUNTIFS(Abstimmungen!$B$5:$B$2000,D73,Abstimmungen!$D$5:$D$2000,"*berweisung*")&gt;0,1,0)</f>
        <v/>
      </c>
    </row>
    <row r="74">
      <c r="A74" s="13" t="n">
        <v>45974</v>
      </c>
      <c r="B74" s="14">
        <f>IF(A74="","",YEAR(A74))</f>
        <v/>
      </c>
      <c r="C74" s="14">
        <f>IF(A74="","",YEAR(A74)&amp;"-Q"&amp;ROUNDUP(MONTH(A74)/3,0))</f>
        <v/>
      </c>
      <c r="D74" s="14" t="inlineStr">
        <is>
          <t>21/2806</t>
        </is>
      </c>
      <c r="E74" s="14" t="inlineStr">
        <is>
          <t>Kleine Anfrage</t>
        </is>
      </c>
      <c r="F74" s="14" t="inlineStr">
        <is>
          <t>AfD</t>
        </is>
      </c>
      <c r="G74" s="14" t="inlineStr">
        <is>
          <t>Opposition</t>
        </is>
      </c>
      <c r="H74" s="14" t="inlineStr">
        <is>
          <t>21</t>
        </is>
      </c>
      <c r="I74" s="14" t="inlineStr">
        <is>
          <t>Konzernstruktur/DB AG</t>
        </is>
      </c>
      <c r="J74" s="14" t="inlineStr"/>
      <c r="K74" s="15">
        <f>IF(OR(J74="",LEFT(E74,7)&lt;&gt;"Antwort"),"",IFERROR(A74-INDEX($A$2:$A$293,MATCH(J74,$D$2:$D$293,0)),""))</f>
        <v/>
      </c>
      <c r="L74" s="14">
        <f>IF(E74&lt;&gt;"Kleine Anfrage","",IFERROR(INDEX($D$2:$D$293,MATCH(D74,$J$2:$J$293,0)),"offen"))</f>
        <v/>
      </c>
      <c r="M74" s="14" t="inlineStr">
        <is>
          <t>Boni für Vorstandsmitglieder und Aufsichtsratsmitglieder der Deutsche Bahn Aktiengesellschaft</t>
        </is>
      </c>
      <c r="N74" s="14" t="inlineStr">
        <is>
          <t>Fraktion der AfD</t>
        </is>
      </c>
      <c r="O74" s="16" t="inlineStr">
        <is>
          <t>PDF</t>
        </is>
      </c>
      <c r="P74" s="14" t="inlineStr"/>
      <c r="Q74" s="14" t="inlineStr"/>
      <c r="R74" s="14">
        <f>IF(COUNTIF(Abstimmungen!$B$5:$B$2000,D74)-COUNTIFS(Abstimmungen!$B$5:$B$2000,D74,Abstimmungen!$D$5:$D$2000,"*berweisung*")&gt;0,1,0)</f>
        <v/>
      </c>
    </row>
    <row r="75">
      <c r="A75" s="13" t="n">
        <v>45973</v>
      </c>
      <c r="B75" s="14">
        <f>IF(A75="","",YEAR(A75))</f>
        <v/>
      </c>
      <c r="C75" s="14">
        <f>IF(A75="","",YEAR(A75)&amp;"-Q"&amp;ROUNDUP(MONTH(A75)/3,0))</f>
        <v/>
      </c>
      <c r="D75" s="14" t="inlineStr">
        <is>
          <t>21/2736</t>
        </is>
      </c>
      <c r="E75" s="14" t="inlineStr">
        <is>
          <t>Gesetzentwurf</t>
        </is>
      </c>
      <c r="F75" s="14" t="inlineStr">
        <is>
          <t>Bundesrat</t>
        </is>
      </c>
      <c r="G75" s="14" t="inlineStr">
        <is>
          <t>Sonstige</t>
        </is>
      </c>
      <c r="H75" s="14" t="inlineStr">
        <is>
          <t>21</t>
        </is>
      </c>
      <c r="I75" s="14" t="inlineStr">
        <is>
          <t>Infrastruktur/Netz</t>
        </is>
      </c>
      <c r="J75" s="14" t="inlineStr"/>
      <c r="K75" s="15">
        <f>IF(OR(J75="",LEFT(E75,7)&lt;&gt;"Antwort"),"",IFERROR(A75-INDEX($A$2:$A$293,MATCH(J75,$D$2:$D$293,0)),""))</f>
        <v/>
      </c>
      <c r="L75" s="14">
        <f>IF(E75&lt;&gt;"Kleine Anfrage","",IFERROR(INDEX($D$2:$D$293,MATCH(D75,$J$2:$J$293,0)),"offen"))</f>
        <v/>
      </c>
      <c r="M75" s="14" t="inlineStr">
        <is>
          <t>Entwurf eines Gesetzes zur Stärkung des Klimaschutzes durch eine Beschleunigung des Ausbaus der Schieneninfrastruktur - Klimaschutzbeschleunigungsgesetz Schiene*</t>
        </is>
      </c>
      <c r="N75" s="14" t="inlineStr">
        <is>
          <t>Bundesrat</t>
        </is>
      </c>
      <c r="O75" s="16" t="inlineStr">
        <is>
          <t>PDF</t>
        </is>
      </c>
      <c r="P75" s="14" t="inlineStr"/>
      <c r="Q75" s="14" t="inlineStr"/>
      <c r="R75" s="14">
        <f>IF(COUNTIF(Abstimmungen!$B$5:$B$2000,D75)-COUNTIFS(Abstimmungen!$B$5:$B$2000,D75,Abstimmungen!$D$5:$D$2000,"*berweisung*")&gt;0,1,0)</f>
        <v/>
      </c>
    </row>
    <row r="76">
      <c r="A76" s="13" t="n">
        <v>45973</v>
      </c>
      <c r="B76" s="14">
        <f>IF(A76="","",YEAR(A76))</f>
        <v/>
      </c>
      <c r="C76" s="14">
        <f>IF(A76="","",YEAR(A76)&amp;"-Q"&amp;ROUNDUP(MONTH(A76)/3,0))</f>
        <v/>
      </c>
      <c r="D76" s="14" t="inlineStr">
        <is>
          <t>21/2790</t>
        </is>
      </c>
      <c r="E76" s="14" t="inlineStr">
        <is>
          <t>Entschließungsantrag</t>
        </is>
      </c>
      <c r="F76" s="14" t="inlineStr">
        <is>
          <t>Gruene</t>
        </is>
      </c>
      <c r="G76" s="14" t="inlineStr">
        <is>
          <t>Opposition</t>
        </is>
      </c>
      <c r="H76" s="14" t="inlineStr">
        <is>
          <t>21</t>
        </is>
      </c>
      <c r="I76" s="14" t="inlineStr">
        <is>
          <t>Sonstiges</t>
        </is>
      </c>
      <c r="J76" s="14" t="inlineStr">
        <is>
          <t>21/1499</t>
        </is>
      </c>
      <c r="K76" s="15">
        <f>IF(OR(J76="",LEFT(E76,7)&lt;&gt;"Antwort"),"",IFERROR(A76-INDEX($A$2:$A$293,MATCH(J76,$D$2:$D$293,0)),""))</f>
        <v/>
      </c>
      <c r="L76" s="14">
        <f>IF(E76&lt;&gt;"Kleine Anfrage","",IFERROR(INDEX($D$2:$D$293,MATCH(D76,$J$2:$J$293,0)),"offen"))</f>
        <v/>
      </c>
      <c r="M76" s="14" t="inlineStr">
        <is>
          <t>zu der dritten Beratung des Gesetzentwurfs der Bundesregierung</t>
        </is>
      </c>
      <c r="N76" s="14" t="inlineStr">
        <is>
          <t>Fraktion BÜNDNIS 90/DIE GRÜNEN</t>
        </is>
      </c>
      <c r="O76" s="16" t="inlineStr">
        <is>
          <t>PDF</t>
        </is>
      </c>
      <c r="P76" s="14" t="inlineStr"/>
      <c r="Q76" s="14" t="inlineStr"/>
      <c r="R76" s="14">
        <f>IF(COUNTIF(Abstimmungen!$B$5:$B$2000,D76)-COUNTIFS(Abstimmungen!$B$5:$B$2000,D76,Abstimmungen!$D$5:$D$2000,"*berweisung*")&gt;0,1,0)</f>
        <v/>
      </c>
    </row>
    <row r="77">
      <c r="A77" s="13" t="n">
        <v>45973</v>
      </c>
      <c r="B77" s="14">
        <f>IF(A77="","",YEAR(A77))</f>
        <v/>
      </c>
      <c r="C77" s="14">
        <f>IF(A77="","",YEAR(A77)&amp;"-Q"&amp;ROUNDUP(MONTH(A77)/3,0))</f>
        <v/>
      </c>
      <c r="D77" s="14" t="inlineStr">
        <is>
          <t>21/2787</t>
        </is>
      </c>
      <c r="E77" s="14" t="inlineStr">
        <is>
          <t>Beschlussempfehlung und Bericht</t>
        </is>
      </c>
      <c r="F77" s="14" t="inlineStr">
        <is>
          <t>Verkehrsausschuss</t>
        </is>
      </c>
      <c r="G77" s="14" t="inlineStr">
        <is>
          <t>Ausschuss</t>
        </is>
      </c>
      <c r="H77" s="14" t="inlineStr">
        <is>
          <t>21</t>
        </is>
      </c>
      <c r="I77" s="14" t="inlineStr">
        <is>
          <t>Sonstiges</t>
        </is>
      </c>
      <c r="J77" s="14" t="inlineStr">
        <is>
          <t>21/1499</t>
        </is>
      </c>
      <c r="K77" s="15">
        <f>IF(OR(J77="",LEFT(E77,7)&lt;&gt;"Antwort"),"",IFERROR(A77-INDEX($A$2:$A$293,MATCH(J77,$D$2:$D$293,0)),""))</f>
        <v/>
      </c>
      <c r="L77" s="14">
        <f>IF(E77&lt;&gt;"Kleine Anfrage","",IFERROR(INDEX($D$2:$D$293,MATCH(D77,$J$2:$J$293,0)),"offen"))</f>
        <v/>
      </c>
      <c r="M77" s="14" t="inlineStr">
        <is>
          <t>Entwurf eines Gesetzes zur Abmilderung des Trassenentgeltanstiegs bei den Eisenbahnen des Bundes</t>
        </is>
      </c>
      <c r="N77" s="14" t="inlineStr">
        <is>
          <t>Verkehrsausschuss</t>
        </is>
      </c>
      <c r="O77" s="16" t="inlineStr">
        <is>
          <t>PDF</t>
        </is>
      </c>
      <c r="P77" s="14" t="inlineStr"/>
      <c r="Q77" s="14" t="inlineStr"/>
      <c r="R77" s="14">
        <f>IF(COUNTIF(Abstimmungen!$B$5:$B$2000,D77)-COUNTIFS(Abstimmungen!$B$5:$B$2000,D77,Abstimmungen!$D$5:$D$2000,"*berweisung*")&gt;0,1,0)</f>
        <v/>
      </c>
    </row>
    <row r="78">
      <c r="A78" s="13" t="n">
        <v>45972</v>
      </c>
      <c r="B78" s="14">
        <f>IF(A78="","",YEAR(A78))</f>
        <v/>
      </c>
      <c r="C78" s="14">
        <f>IF(A78="","",YEAR(A78)&amp;"-Q"&amp;ROUNDUP(MONTH(A78)/3,0))</f>
        <v/>
      </c>
      <c r="D78" s="14" t="inlineStr">
        <is>
          <t>21/2704</t>
        </is>
      </c>
      <c r="E78" s="14" t="inlineStr">
        <is>
          <t>Kleine Anfrage</t>
        </is>
      </c>
      <c r="F78" s="14" t="inlineStr">
        <is>
          <t>Linke</t>
        </is>
      </c>
      <c r="G78" s="14" t="inlineStr">
        <is>
          <t>Opposition</t>
        </is>
      </c>
      <c r="H78" s="14" t="inlineStr">
        <is>
          <t>21</t>
        </is>
      </c>
      <c r="I78" s="14" t="inlineStr">
        <is>
          <t>Bahnhoefe</t>
        </is>
      </c>
      <c r="J78" s="14" t="inlineStr"/>
      <c r="K78" s="15">
        <f>IF(OR(J78="",LEFT(E78,7)&lt;&gt;"Antwort"),"",IFERROR(A78-INDEX($A$2:$A$293,MATCH(J78,$D$2:$D$293,0)),""))</f>
        <v/>
      </c>
      <c r="L78" s="14">
        <f>IF(E78&lt;&gt;"Kleine Anfrage","",IFERROR(INDEX($D$2:$D$293,MATCH(D78,$J$2:$J$293,0)),"offen"))</f>
        <v/>
      </c>
      <c r="M78" s="14" t="inlineStr">
        <is>
          <t>Toiletten an Bahnhöfen als Teil der öffentlichen Daseinsvorsorge</t>
        </is>
      </c>
      <c r="N78" s="14" t="inlineStr">
        <is>
          <t>Fraktion DIE LINKE</t>
        </is>
      </c>
      <c r="O78" s="16" t="inlineStr">
        <is>
          <t>PDF</t>
        </is>
      </c>
      <c r="P78" s="14" t="inlineStr"/>
      <c r="Q78" s="14" t="inlineStr"/>
      <c r="R78" s="14">
        <f>IF(COUNTIF(Abstimmungen!$B$5:$B$2000,D78)-COUNTIFS(Abstimmungen!$B$5:$B$2000,D78,Abstimmungen!$D$5:$D$2000,"*berweisung*")&gt;0,1,0)</f>
        <v/>
      </c>
    </row>
    <row r="79">
      <c r="A79" s="13" t="n">
        <v>45967</v>
      </c>
      <c r="B79" s="14">
        <f>IF(A79="","",YEAR(A79))</f>
        <v/>
      </c>
      <c r="C79" s="14">
        <f>IF(A79="","",YEAR(A79)&amp;"-Q"&amp;ROUNDUP(MONTH(A79)/3,0))</f>
        <v/>
      </c>
      <c r="D79" s="14" t="inlineStr">
        <is>
          <t>21/2644</t>
        </is>
      </c>
      <c r="E79" s="14" t="inlineStr">
        <is>
          <t>Kleine Anfrage</t>
        </is>
      </c>
      <c r="F79" s="14" t="inlineStr">
        <is>
          <t>Gruene</t>
        </is>
      </c>
      <c r="G79" s="14" t="inlineStr">
        <is>
          <t>Opposition</t>
        </is>
      </c>
      <c r="H79" s="14" t="inlineStr">
        <is>
          <t>21</t>
        </is>
      </c>
      <c r="I79" s="14" t="inlineStr">
        <is>
          <t>Infrastruktur/Netz</t>
        </is>
      </c>
      <c r="J79" s="14" t="inlineStr"/>
      <c r="K79" s="15">
        <f>IF(OR(J79="",LEFT(E79,7)&lt;&gt;"Antwort"),"",IFERROR(A79-INDEX($A$2:$A$293,MATCH(J79,$D$2:$D$293,0)),""))</f>
        <v/>
      </c>
      <c r="L79" s="14">
        <f>IF(E79&lt;&gt;"Kleine Anfrage","",IFERROR(INDEX($D$2:$D$293,MATCH(D79,$J$2:$J$293,0)),"offen"))</f>
        <v/>
      </c>
      <c r="M79" s="14" t="inlineStr">
        <is>
          <t>Geschwindigkeitsreduzierung auf der Bahnstrecke München - Buchloe und weiterer Strecken</t>
        </is>
      </c>
      <c r="N79" s="14" t="inlineStr">
        <is>
          <t>Fraktion BÜNDNIS 90/DIE GRÜNEN</t>
        </is>
      </c>
      <c r="O79" s="16" t="inlineStr">
        <is>
          <t>PDF</t>
        </is>
      </c>
      <c r="P79" s="14" t="inlineStr"/>
      <c r="Q79" s="14" t="inlineStr"/>
      <c r="R79" s="14">
        <f>IF(COUNTIF(Abstimmungen!$B$5:$B$2000,D79)-COUNTIFS(Abstimmungen!$B$5:$B$2000,D79,Abstimmungen!$D$5:$D$2000,"*berweisung*")&gt;0,1,0)</f>
        <v/>
      </c>
    </row>
    <row r="80">
      <c r="A80" s="13" t="n">
        <v>45966</v>
      </c>
      <c r="B80" s="14">
        <f>IF(A80="","",YEAR(A80))</f>
        <v/>
      </c>
      <c r="C80" s="14">
        <f>IF(A80="","",YEAR(A80)&amp;"-Q"&amp;ROUNDUP(MONTH(A80)/3,0))</f>
        <v/>
      </c>
      <c r="D80" s="14" t="inlineStr">
        <is>
          <t>21/2591</t>
        </is>
      </c>
      <c r="E80" s="14" t="inlineStr">
        <is>
          <t>Antwort</t>
        </is>
      </c>
      <c r="F80" s="14" t="inlineStr">
        <is>
          <t>Bundesregierung</t>
        </is>
      </c>
      <c r="G80" s="14" t="inlineStr">
        <is>
          <t>Regierung</t>
        </is>
      </c>
      <c r="H80" s="14" t="inlineStr">
        <is>
          <t>21</t>
        </is>
      </c>
      <c r="I80" s="14" t="inlineStr">
        <is>
          <t>Bahnhoefe; Kriminalitaet</t>
        </is>
      </c>
      <c r="J80" s="14" t="inlineStr">
        <is>
          <t>21/2410</t>
        </is>
      </c>
      <c r="K80" s="15">
        <f>IF(OR(J80="",LEFT(E80,7)&lt;&gt;"Antwort"),"",IFERROR(A80-INDEX($A$2:$A$293,MATCH(J80,$D$2:$D$293,0)),""))</f>
        <v/>
      </c>
      <c r="L80" s="14">
        <f>IF(E80&lt;&gt;"Kleine Anfrage","",IFERROR(INDEX($D$2:$D$293,MATCH(D80,$J$2:$J$293,0)),"offen"))</f>
        <v/>
      </c>
      <c r="M80" s="14" t="inlineStr">
        <is>
          <t>Kriminalitätsfelder in Bezug auf Bahnhöfe und Züge in Sachsen in den ersten Halbjahren 2024 und 2025</t>
        </is>
      </c>
      <c r="N80" s="14" t="inlineStr">
        <is>
          <t>Bundesregierung</t>
        </is>
      </c>
      <c r="O80" s="16" t="inlineStr">
        <is>
          <t>PDF</t>
        </is>
      </c>
      <c r="P80" s="14" t="inlineStr">
        <is>
          <t>AfD</t>
        </is>
      </c>
      <c r="Q80" s="14" t="inlineStr"/>
      <c r="R80" s="14">
        <f>IF(COUNTIF(Abstimmungen!$B$5:$B$2000,D80)-COUNTIFS(Abstimmungen!$B$5:$B$2000,D80,Abstimmungen!$D$5:$D$2000,"*berweisung*")&gt;0,1,0)</f>
        <v/>
      </c>
    </row>
    <row r="81">
      <c r="A81" s="13" t="n">
        <v>45966</v>
      </c>
      <c r="B81" s="14">
        <f>IF(A81="","",YEAR(A81))</f>
        <v/>
      </c>
      <c r="C81" s="14">
        <f>IF(A81="","",YEAR(A81)&amp;"-Q"&amp;ROUNDUP(MONTH(A81)/3,0))</f>
        <v/>
      </c>
      <c r="D81" s="14" t="inlineStr">
        <is>
          <t>21/2628</t>
        </is>
      </c>
      <c r="E81" s="14" t="inlineStr">
        <is>
          <t>Beschlussempfehlung und Bericht</t>
        </is>
      </c>
      <c r="F81" s="14" t="inlineStr">
        <is>
          <t>Verkehrsausschuss</t>
        </is>
      </c>
      <c r="G81" s="14" t="inlineStr">
        <is>
          <t>Ausschuss</t>
        </is>
      </c>
      <c r="H81" s="14" t="inlineStr">
        <is>
          <t>21</t>
        </is>
      </c>
      <c r="I81" s="14" t="inlineStr">
        <is>
          <t>Deutschlandticket</t>
        </is>
      </c>
      <c r="J81" s="14" t="inlineStr">
        <is>
          <t>21/1543</t>
        </is>
      </c>
      <c r="K81" s="15">
        <f>IF(OR(J81="",LEFT(E81,7)&lt;&gt;"Antwort"),"",IFERROR(A81-INDEX($A$2:$A$293,MATCH(J81,$D$2:$D$293,0)),""))</f>
        <v/>
      </c>
      <c r="L81" s="14">
        <f>IF(E81&lt;&gt;"Kleine Anfrage","",IFERROR(INDEX($D$2:$D$293,MATCH(D81,$J$2:$J$293,0)),"offen"))</f>
        <v/>
      </c>
      <c r="M81" s="14" t="inlineStr">
        <is>
          <t>Deutschlandticket weiterentwickeln und langfristig sichern</t>
        </is>
      </c>
      <c r="N81" s="14" t="inlineStr">
        <is>
          <t>Verkehrsausschuss</t>
        </is>
      </c>
      <c r="O81" s="16" t="inlineStr">
        <is>
          <t>PDF</t>
        </is>
      </c>
      <c r="P81" s="14" t="inlineStr"/>
      <c r="Q81" s="14" t="inlineStr"/>
      <c r="R81" s="14">
        <f>IF(COUNTIF(Abstimmungen!$B$5:$B$2000,D81)-COUNTIFS(Abstimmungen!$B$5:$B$2000,D81,Abstimmungen!$D$5:$D$2000,"*berweisung*")&gt;0,1,0)</f>
        <v/>
      </c>
    </row>
    <row r="82">
      <c r="A82" s="13" t="n">
        <v>45957</v>
      </c>
      <c r="B82" s="14">
        <f>IF(A82="","",YEAR(A82))</f>
        <v/>
      </c>
      <c r="C82" s="14">
        <f>IF(A82="","",YEAR(A82)&amp;"-Q"&amp;ROUNDUP(MONTH(A82)/3,0))</f>
        <v/>
      </c>
      <c r="D82" s="14" t="inlineStr">
        <is>
          <t>21/2410</t>
        </is>
      </c>
      <c r="E82" s="14" t="inlineStr">
        <is>
          <t>Kleine Anfrage</t>
        </is>
      </c>
      <c r="F82" s="14" t="inlineStr">
        <is>
          <t>AfD</t>
        </is>
      </c>
      <c r="G82" s="14" t="inlineStr">
        <is>
          <t>Opposition</t>
        </is>
      </c>
      <c r="H82" s="14" t="inlineStr">
        <is>
          <t>21</t>
        </is>
      </c>
      <c r="I82" s="14" t="inlineStr">
        <is>
          <t>Bahnhoefe; Kriminalitaet</t>
        </is>
      </c>
      <c r="J82" s="14" t="inlineStr"/>
      <c r="K82" s="15">
        <f>IF(OR(J82="",LEFT(E82,7)&lt;&gt;"Antwort"),"",IFERROR(A82-INDEX($A$2:$A$293,MATCH(J82,$D$2:$D$293,0)),""))</f>
        <v/>
      </c>
      <c r="L82" s="14">
        <f>IF(E82&lt;&gt;"Kleine Anfrage","",IFERROR(INDEX($D$2:$D$293,MATCH(D82,$J$2:$J$293,0)),"offen"))</f>
        <v/>
      </c>
      <c r="M82" s="14" t="inlineStr">
        <is>
          <t>Kriminalitätsfelder in Bezug auf Bahnhöfe und Züge in Sachsen in den ersten Halbjahren 2024 und 2025</t>
        </is>
      </c>
      <c r="N82" s="14" t="inlineStr">
        <is>
          <t>Fraktion der AfD</t>
        </is>
      </c>
      <c r="O82" s="16" t="inlineStr">
        <is>
          <t>PDF</t>
        </is>
      </c>
      <c r="P82" s="14" t="inlineStr"/>
      <c r="Q82" s="14" t="inlineStr"/>
      <c r="R82" s="14">
        <f>IF(COUNTIF(Abstimmungen!$B$5:$B$2000,D82)-COUNTIFS(Abstimmungen!$B$5:$B$2000,D82,Abstimmungen!$D$5:$D$2000,"*berweisung*")&gt;0,1,0)</f>
        <v/>
      </c>
    </row>
    <row r="83">
      <c r="A83" s="13" t="n">
        <v>45947</v>
      </c>
      <c r="B83" s="14">
        <f>IF(A83="","",YEAR(A83))</f>
        <v/>
      </c>
      <c r="C83" s="14">
        <f>IF(A83="","",YEAR(A83)&amp;"-Q"&amp;ROUNDUP(MONTH(A83)/3,0))</f>
        <v/>
      </c>
      <c r="D83" s="14" t="inlineStr">
        <is>
          <t>21/2295</t>
        </is>
      </c>
      <c r="E83" s="14" t="inlineStr">
        <is>
          <t>Beschlussempfehlung und Bericht</t>
        </is>
      </c>
      <c r="F83" s="14" t="inlineStr">
        <is>
          <t>Verkehrsausschuss</t>
        </is>
      </c>
      <c r="G83" s="14" t="inlineStr">
        <is>
          <t>Ausschuss</t>
        </is>
      </c>
      <c r="H83" s="14" t="inlineStr">
        <is>
          <t>21</t>
        </is>
      </c>
      <c r="I83" s="14" t="inlineStr">
        <is>
          <t>Sonstiges</t>
        </is>
      </c>
      <c r="J83" s="14" t="inlineStr">
        <is>
          <t>21/1754</t>
        </is>
      </c>
      <c r="K83" s="15">
        <f>IF(OR(J83="",LEFT(E83,7)&lt;&gt;"Antwort"),"",IFERROR(A83-INDEX($A$2:$A$293,MATCH(J83,$D$2:$D$293,0)),""))</f>
        <v/>
      </c>
      <c r="L83" s="14">
        <f>IF(E83&lt;&gt;"Kleine Anfrage","",IFERROR(INDEX($D$2:$D$293,MATCH(D83,$J$2:$J$293,0)),"offen"))</f>
        <v/>
      </c>
      <c r="M83" s="14" t="inlineStr">
        <is>
          <t>Mitglieder des Deutschen Bundestages aus Aufsichtsräten bei der Deutschen Bahn AG und der Autobahn GmbH des Bundes dauerhaft abberufen</t>
        </is>
      </c>
      <c r="N83" s="14" t="inlineStr">
        <is>
          <t>Verkehrsausschuss</t>
        </is>
      </c>
      <c r="O83" s="16" t="inlineStr">
        <is>
          <t>PDF</t>
        </is>
      </c>
      <c r="P83" s="14" t="inlineStr"/>
      <c r="Q83" s="14" t="inlineStr"/>
      <c r="R83" s="14">
        <f>IF(COUNTIF(Abstimmungen!$B$5:$B$2000,D83)-COUNTIFS(Abstimmungen!$B$5:$B$2000,D83,Abstimmungen!$D$5:$D$2000,"*berweisung*")&gt;0,1,0)</f>
        <v/>
      </c>
    </row>
    <row r="84">
      <c r="A84" s="13" t="n">
        <v>45939</v>
      </c>
      <c r="B84" s="14">
        <f>IF(A84="","",YEAR(A84))</f>
        <v/>
      </c>
      <c r="C84" s="14">
        <f>IF(A84="","",YEAR(A84)&amp;"-Q"&amp;ROUNDUP(MONTH(A84)/3,0))</f>
        <v/>
      </c>
      <c r="D84" s="14" t="inlineStr">
        <is>
          <t>21/2143</t>
        </is>
      </c>
      <c r="E84" s="14" t="inlineStr">
        <is>
          <t>Antwort</t>
        </is>
      </c>
      <c r="F84" s="14" t="inlineStr">
        <is>
          <t>Bundesregierung</t>
        </is>
      </c>
      <c r="G84" s="14" t="inlineStr">
        <is>
          <t>Regierung</t>
        </is>
      </c>
      <c r="H84" s="14" t="inlineStr">
        <is>
          <t>21</t>
        </is>
      </c>
      <c r="I84" s="14" t="inlineStr">
        <is>
          <t>Puenktlichkeit/Qualitaet; Sicherheit</t>
        </is>
      </c>
      <c r="J84" s="14" t="inlineStr">
        <is>
          <t>21/1015</t>
        </is>
      </c>
      <c r="K84" s="15">
        <f>IF(OR(J84="",LEFT(E84,7)&lt;&gt;"Antwort"),"",IFERROR(A84-INDEX($A$2:$A$293,MATCH(J84,$D$2:$D$293,0)),""))</f>
        <v/>
      </c>
      <c r="L84" s="14">
        <f>IF(E84&lt;&gt;"Kleine Anfrage","",IFERROR(INDEX($D$2:$D$293,MATCH(D84,$J$2:$J$293,0)),"offen"))</f>
        <v/>
      </c>
      <c r="M84" s="14" t="inlineStr">
        <is>
          <t>Störungen im Betriebsablauf bei der Deutschen Bahn AG und deren Auswirkungen auf Sicherheit und Pünktlichkeit</t>
        </is>
      </c>
      <c r="N84" s="14" t="inlineStr">
        <is>
          <t>Bundesregierung</t>
        </is>
      </c>
      <c r="O84" s="16" t="inlineStr">
        <is>
          <t>PDF</t>
        </is>
      </c>
      <c r="P84" s="14" t="inlineStr">
        <is>
          <t>AfD</t>
        </is>
      </c>
      <c r="Q84" s="14" t="inlineStr"/>
      <c r="R84" s="14">
        <f>IF(COUNTIF(Abstimmungen!$B$5:$B$2000,D84)-COUNTIFS(Abstimmungen!$B$5:$B$2000,D84,Abstimmungen!$D$5:$D$2000,"*berweisung*")&gt;0,1,0)</f>
        <v/>
      </c>
    </row>
    <row r="85">
      <c r="A85" s="13" t="n">
        <v>45938</v>
      </c>
      <c r="B85" s="14">
        <f>IF(A85="","",YEAR(A85))</f>
        <v/>
      </c>
      <c r="C85" s="14">
        <f>IF(A85="","",YEAR(A85)&amp;"-Q"&amp;ROUNDUP(MONTH(A85)/3,0))</f>
        <v/>
      </c>
      <c r="D85" s="14" t="inlineStr">
        <is>
          <t>21/2108</t>
        </is>
      </c>
      <c r="E85" s="14" t="inlineStr">
        <is>
          <t>Beschlussempfehlung und Bericht</t>
        </is>
      </c>
      <c r="F85" s="14" t="inlineStr">
        <is>
          <t>Verkehrsausschuss</t>
        </is>
      </c>
      <c r="G85" s="14" t="inlineStr">
        <is>
          <t>Ausschuss</t>
        </is>
      </c>
      <c r="H85" s="14" t="inlineStr">
        <is>
          <t>21</t>
        </is>
      </c>
      <c r="I85" s="14" t="inlineStr">
        <is>
          <t>Infrastruktur/Netz; Deutschlandtakt/Fahrplan; Finanzierung</t>
        </is>
      </c>
      <c r="J85" s="14" t="inlineStr">
        <is>
          <t>21/581</t>
        </is>
      </c>
      <c r="K85" s="15">
        <f>IF(OR(J85="",LEFT(E85,7)&lt;&gt;"Antwort"),"",IFERROR(A85-INDEX($A$2:$A$293,MATCH(J85,$D$2:$D$293,0)),""))</f>
        <v/>
      </c>
      <c r="L85" s="14">
        <f>IF(E85&lt;&gt;"Kleine Anfrage","",IFERROR(INDEX($D$2:$D$293,MATCH(D85,$J$2:$J$293,0)),"offen"))</f>
        <v/>
      </c>
      <c r="M85" s="14" t="inlineStr">
        <is>
          <t>Die Bahn zum Rückgrat klima- und familienfreundlicher Mobilität machen</t>
        </is>
      </c>
      <c r="N85" s="14" t="inlineStr">
        <is>
          <t>Verkehrsausschuss</t>
        </is>
      </c>
      <c r="O85" s="16" t="inlineStr">
        <is>
          <t>PDF</t>
        </is>
      </c>
      <c r="P85" s="14" t="inlineStr"/>
      <c r="Q85" s="14" t="inlineStr"/>
      <c r="R85" s="14">
        <f>IF(COUNTIF(Abstimmungen!$B$5:$B$2000,D85)-COUNTIFS(Abstimmungen!$B$5:$B$2000,D85,Abstimmungen!$D$5:$D$2000,"*berweisung*")&gt;0,1,0)</f>
        <v/>
      </c>
    </row>
    <row r="86">
      <c r="A86" s="13" t="n">
        <v>45931</v>
      </c>
      <c r="B86" s="14">
        <f>IF(A86="","",YEAR(A86))</f>
        <v/>
      </c>
      <c r="C86" s="14">
        <f>IF(A86="","",YEAR(A86)&amp;"-Q"&amp;ROUNDUP(MONTH(A86)/3,0))</f>
        <v/>
      </c>
      <c r="D86" s="14" t="inlineStr">
        <is>
          <t>21/1939</t>
        </is>
      </c>
      <c r="E86" s="14" t="inlineStr">
        <is>
          <t>Unterrichtung</t>
        </is>
      </c>
      <c r="F86" s="14" t="inlineStr">
        <is>
          <t>Bundesregierung</t>
        </is>
      </c>
      <c r="G86" s="14" t="inlineStr">
        <is>
          <t>Regierung</t>
        </is>
      </c>
      <c r="H86" s="14" t="inlineStr">
        <is>
          <t>21</t>
        </is>
      </c>
      <c r="I86" s="14" t="inlineStr">
        <is>
          <t>Sonstiges</t>
        </is>
      </c>
      <c r="J86" s="14" t="inlineStr">
        <is>
          <t>21/1499</t>
        </is>
      </c>
      <c r="K86" s="15">
        <f>IF(OR(J86="",LEFT(E86,7)&lt;&gt;"Antwort"),"",IFERROR(A86-INDEX($A$2:$A$293,MATCH(J86,$D$2:$D$293,0)),""))</f>
        <v/>
      </c>
      <c r="L86" s="14">
        <f>IF(E86&lt;&gt;"Kleine Anfrage","",IFERROR(INDEX($D$2:$D$293,MATCH(D86,$J$2:$J$293,0)),"offen"))</f>
        <v/>
      </c>
      <c r="M86" s="14" t="inlineStr">
        <is>
          <t>Entwurf eines Gesetzes zur Abmilderung des Trassenentgeltanstiegs bei den Eisenbahnen des Bundes</t>
        </is>
      </c>
      <c r="N86" s="14" t="inlineStr">
        <is>
          <t>Bundesregierung</t>
        </is>
      </c>
      <c r="O86" s="16" t="inlineStr">
        <is>
          <t>PDF</t>
        </is>
      </c>
      <c r="P86" s="14" t="inlineStr"/>
      <c r="Q86" s="14" t="inlineStr"/>
      <c r="R86" s="14">
        <f>IF(COUNTIF(Abstimmungen!$B$5:$B$2000,D86)-COUNTIFS(Abstimmungen!$B$5:$B$2000,D86,Abstimmungen!$D$5:$D$2000,"*berweisung*")&gt;0,1,0)</f>
        <v/>
      </c>
    </row>
    <row r="87">
      <c r="A87" s="13" t="n">
        <v>45922</v>
      </c>
      <c r="B87" s="14">
        <f>IF(A87="","",YEAR(A87))</f>
        <v/>
      </c>
      <c r="C87" s="14">
        <f>IF(A87="","",YEAR(A87)&amp;"-Q"&amp;ROUNDUP(MONTH(A87)/3,0))</f>
        <v/>
      </c>
      <c r="D87" s="14" t="inlineStr">
        <is>
          <t>21/1754</t>
        </is>
      </c>
      <c r="E87" s="14" t="inlineStr">
        <is>
          <t>Antrag</t>
        </is>
      </c>
      <c r="F87" s="14" t="inlineStr">
        <is>
          <t>AfD</t>
        </is>
      </c>
      <c r="G87" s="14" t="inlineStr">
        <is>
          <t>Opposition</t>
        </is>
      </c>
      <c r="H87" s="14" t="inlineStr">
        <is>
          <t>21</t>
        </is>
      </c>
      <c r="I87" s="14" t="inlineStr">
        <is>
          <t>Sonstiges</t>
        </is>
      </c>
      <c r="J87" s="14" t="inlineStr"/>
      <c r="K87" s="15">
        <f>IF(OR(J87="",LEFT(E87,7)&lt;&gt;"Antwort"),"",IFERROR(A87-INDEX($A$2:$A$293,MATCH(J87,$D$2:$D$293,0)),""))</f>
        <v/>
      </c>
      <c r="L87" s="14">
        <f>IF(E87&lt;&gt;"Kleine Anfrage","",IFERROR(INDEX($D$2:$D$293,MATCH(D87,$J$2:$J$293,0)),"offen"))</f>
        <v/>
      </c>
      <c r="M87" s="14" t="inlineStr">
        <is>
          <t>Mitglieder des Deutschen Bundestages aus Aufsichtsräten bei der Deutschen Bahn AG und der Autobahn GmbH des Bundes dauerhaft abberufen</t>
        </is>
      </c>
      <c r="N87" s="14" t="inlineStr">
        <is>
          <t>Fraktion der AfD</t>
        </is>
      </c>
      <c r="O87" s="16" t="inlineStr">
        <is>
          <t>PDF</t>
        </is>
      </c>
      <c r="P87" s="14" t="inlineStr"/>
      <c r="Q87" s="14" t="inlineStr"/>
      <c r="R87" s="14">
        <f>IF(COUNTIF(Abstimmungen!$B$5:$B$2000,D87)-COUNTIFS(Abstimmungen!$B$5:$B$2000,D87,Abstimmungen!$D$5:$D$2000,"*berweisung*")&gt;0,1,0)</f>
        <v/>
      </c>
    </row>
    <row r="88">
      <c r="A88" s="13" t="n">
        <v>45917</v>
      </c>
      <c r="B88" s="14">
        <f>IF(A88="","",YEAR(A88))</f>
        <v/>
      </c>
      <c r="C88" s="14">
        <f>IF(A88="","",YEAR(A88)&amp;"-Q"&amp;ROUNDUP(MONTH(A88)/3,0))</f>
        <v/>
      </c>
      <c r="D88" s="14" t="inlineStr">
        <is>
          <t>21/1651</t>
        </is>
      </c>
      <c r="E88" s="14" t="inlineStr">
        <is>
          <t>Wahlvorschlag</t>
        </is>
      </c>
      <c r="F88" s="14" t="inlineStr">
        <is>
          <t>Mehrere Fraktionen</t>
        </is>
      </c>
      <c r="G88" s="14" t="inlineStr">
        <is>
          <t>Fraktionsuebergreifend</t>
        </is>
      </c>
      <c r="H88" s="14" t="inlineStr">
        <is>
          <t>21</t>
        </is>
      </c>
      <c r="I88" s="14" t="inlineStr">
        <is>
          <t>Sonstiges</t>
        </is>
      </c>
      <c r="J88" s="14" t="inlineStr"/>
      <c r="K88" s="15">
        <f>IF(OR(J88="",LEFT(E88,7)&lt;&gt;"Antwort"),"",IFERROR(A88-INDEX($A$2:$A$293,MATCH(J88,$D$2:$D$293,0)),""))</f>
        <v/>
      </c>
      <c r="L88" s="14">
        <f>IF(E88&lt;&gt;"Kleine Anfrage","",IFERROR(INDEX($D$2:$D$293,MATCH(D88,$J$2:$J$293,0)),"offen"))</f>
        <v/>
      </c>
      <c r="M88" s="14" t="inlineStr">
        <is>
          <t>Wahl von Mitgliedern des Beirats bei der Bundesnetzagentur für Elektrizität, Gas, Telekommunikation, Post und Eisenbahnen</t>
        </is>
      </c>
      <c r="N88" s="14" t="inlineStr">
        <is>
          <t>Fraktion der AfD; Fraktion der CDU/CSU; Fraktion der SPD</t>
        </is>
      </c>
      <c r="O88" s="16" t="inlineStr">
        <is>
          <t>PDF</t>
        </is>
      </c>
      <c r="P88" s="14" t="inlineStr"/>
      <c r="Q88" s="14" t="inlineStr"/>
      <c r="R88" s="14">
        <f>IF(COUNTIF(Abstimmungen!$B$5:$B$2000,D88)-COUNTIFS(Abstimmungen!$B$5:$B$2000,D88,Abstimmungen!$D$5:$D$2000,"*berweisung*")&gt;0,1,0)</f>
        <v/>
      </c>
    </row>
    <row r="89">
      <c r="A89" s="13" t="n">
        <v>45915</v>
      </c>
      <c r="B89" s="14">
        <f>IF(A89="","",YEAR(A89))</f>
        <v/>
      </c>
      <c r="C89" s="14">
        <f>IF(A89="","",YEAR(A89)&amp;"-Q"&amp;ROUNDUP(MONTH(A89)/3,0))</f>
        <v/>
      </c>
      <c r="D89" s="14" t="inlineStr">
        <is>
          <t>21/1678</t>
        </is>
      </c>
      <c r="E89" s="14" t="inlineStr">
        <is>
          <t>Wahlvorschlag</t>
        </is>
      </c>
      <c r="F89" s="14" t="inlineStr">
        <is>
          <t>Gruene</t>
        </is>
      </c>
      <c r="G89" s="14" t="inlineStr">
        <is>
          <t>Opposition</t>
        </is>
      </c>
      <c r="H89" s="14" t="inlineStr">
        <is>
          <t>21</t>
        </is>
      </c>
      <c r="I89" s="14" t="inlineStr">
        <is>
          <t>Sonstiges</t>
        </is>
      </c>
      <c r="J89" s="14" t="inlineStr"/>
      <c r="K89" s="15">
        <f>IF(OR(J89="",LEFT(E89,7)&lt;&gt;"Antwort"),"",IFERROR(A89-INDEX($A$2:$A$293,MATCH(J89,$D$2:$D$293,0)),""))</f>
        <v/>
      </c>
      <c r="L89" s="14">
        <f>IF(E89&lt;&gt;"Kleine Anfrage","",IFERROR(INDEX($D$2:$D$293,MATCH(D89,$J$2:$J$293,0)),"offen"))</f>
        <v/>
      </c>
      <c r="M89" s="14" t="inlineStr">
        <is>
          <t>Wahl von Mitgliedern des Beirats bei der Bundesnetzagentur für Elektrizität, Gas, Telekommunikation, Post und Eisenbahnen</t>
        </is>
      </c>
      <c r="N89" s="14" t="inlineStr">
        <is>
          <t>Fraktion BÜNDNIS 90/DIE GRÜNEN</t>
        </is>
      </c>
      <c r="O89" s="16" t="inlineStr">
        <is>
          <t>PDF</t>
        </is>
      </c>
      <c r="P89" s="14" t="inlineStr"/>
      <c r="Q89" s="14" t="inlineStr"/>
      <c r="R89" s="14">
        <f>IF(COUNTIF(Abstimmungen!$B$5:$B$2000,D89)-COUNTIFS(Abstimmungen!$B$5:$B$2000,D89,Abstimmungen!$D$5:$D$2000,"*berweisung*")&gt;0,1,0)</f>
        <v/>
      </c>
    </row>
    <row r="90">
      <c r="A90" s="13" t="n">
        <v>45915</v>
      </c>
      <c r="B90" s="14">
        <f>IF(A90="","",YEAR(A90))</f>
        <v/>
      </c>
      <c r="C90" s="14">
        <f>IF(A90="","",YEAR(A90)&amp;"-Q"&amp;ROUNDUP(MONTH(A90)/3,0))</f>
        <v/>
      </c>
      <c r="D90" s="14" t="inlineStr">
        <is>
          <t>21/1679</t>
        </is>
      </c>
      <c r="E90" s="14" t="inlineStr">
        <is>
          <t>Wahlvorschlag</t>
        </is>
      </c>
      <c r="F90" s="14" t="inlineStr">
        <is>
          <t>Linke</t>
        </is>
      </c>
      <c r="G90" s="14" t="inlineStr">
        <is>
          <t>Opposition</t>
        </is>
      </c>
      <c r="H90" s="14" t="inlineStr">
        <is>
          <t>21</t>
        </is>
      </c>
      <c r="I90" s="14" t="inlineStr">
        <is>
          <t>Sonstiges</t>
        </is>
      </c>
      <c r="J90" s="14" t="inlineStr"/>
      <c r="K90" s="15">
        <f>IF(OR(J90="",LEFT(E90,7)&lt;&gt;"Antwort"),"",IFERROR(A90-INDEX($A$2:$A$293,MATCH(J90,$D$2:$D$293,0)),""))</f>
        <v/>
      </c>
      <c r="L90" s="14">
        <f>IF(E90&lt;&gt;"Kleine Anfrage","",IFERROR(INDEX($D$2:$D$293,MATCH(D90,$J$2:$J$293,0)),"offen"))</f>
        <v/>
      </c>
      <c r="M90" s="14" t="inlineStr">
        <is>
          <t>Wahl eines Mitglieds des Beirats bei der Bundesnetzagentur für Elektrizität, Gas, Telekommunikation, Post und Eisenbahnen</t>
        </is>
      </c>
      <c r="N90" s="14" t="inlineStr">
        <is>
          <t>Fraktion DIE LINKE</t>
        </is>
      </c>
      <c r="O90" s="16" t="inlineStr">
        <is>
          <t>PDF</t>
        </is>
      </c>
      <c r="P90" s="14" t="inlineStr"/>
      <c r="Q90" s="14" t="inlineStr"/>
      <c r="R90" s="14">
        <f>IF(COUNTIF(Abstimmungen!$B$5:$B$2000,D90)-COUNTIFS(Abstimmungen!$B$5:$B$2000,D90,Abstimmungen!$D$5:$D$2000,"*berweisung*")&gt;0,1,0)</f>
        <v/>
      </c>
    </row>
    <row r="91">
      <c r="A91" s="13" t="n">
        <v>45910</v>
      </c>
      <c r="B91" s="14">
        <f>IF(A91="","",YEAR(A91))</f>
        <v/>
      </c>
      <c r="C91" s="14">
        <f>IF(A91="","",YEAR(A91)&amp;"-Q"&amp;ROUNDUP(MONTH(A91)/3,0))</f>
        <v/>
      </c>
      <c r="D91" s="14" t="inlineStr">
        <is>
          <t>21/1581</t>
        </is>
      </c>
      <c r="E91" s="14" t="inlineStr">
        <is>
          <t>Antwort</t>
        </is>
      </c>
      <c r="F91" s="14" t="inlineStr">
        <is>
          <t>Bundesregierung</t>
        </is>
      </c>
      <c r="G91" s="14" t="inlineStr">
        <is>
          <t>Regierung</t>
        </is>
      </c>
      <c r="H91" s="14" t="inlineStr">
        <is>
          <t>21</t>
        </is>
      </c>
      <c r="I91" s="14" t="inlineStr">
        <is>
          <t>Bahnhoefe; Kriminalitaet</t>
        </is>
      </c>
      <c r="J91" s="14" t="inlineStr">
        <is>
          <t>21/1342</t>
        </is>
      </c>
      <c r="K91" s="15">
        <f>IF(OR(J91="",LEFT(E91,7)&lt;&gt;"Antwort"),"",IFERROR(A91-INDEX($A$2:$A$293,MATCH(J91,$D$2:$D$293,0)),""))</f>
        <v/>
      </c>
      <c r="L91" s="14">
        <f>IF(E91&lt;&gt;"Kleine Anfrage","",IFERROR(INDEX($D$2:$D$293,MATCH(D91,$J$2:$J$293,0)),"offen"))</f>
        <v/>
      </c>
      <c r="M91" s="14" t="inlineStr">
        <is>
          <t>Kriminalitätsfelder in Bezug auf Bahnhöfe und Züge in Baden-Württemberg im ersten Halbjahr 2025</t>
        </is>
      </c>
      <c r="N91" s="14" t="inlineStr">
        <is>
          <t>Bundesregierung</t>
        </is>
      </c>
      <c r="O91" s="16" t="inlineStr">
        <is>
          <t>PDF</t>
        </is>
      </c>
      <c r="P91" s="14" t="inlineStr">
        <is>
          <t>AfD</t>
        </is>
      </c>
      <c r="Q91" s="14" t="inlineStr"/>
      <c r="R91" s="14">
        <f>IF(COUNTIF(Abstimmungen!$B$5:$B$2000,D91)-COUNTIFS(Abstimmungen!$B$5:$B$2000,D91,Abstimmungen!$D$5:$D$2000,"*berweisung*")&gt;0,1,0)</f>
        <v/>
      </c>
    </row>
    <row r="92">
      <c r="A92" s="13" t="n">
        <v>45909</v>
      </c>
      <c r="B92" s="14">
        <f>IF(A92="","",YEAR(A92))</f>
        <v/>
      </c>
      <c r="C92" s="14">
        <f>IF(A92="","",YEAR(A92)&amp;"-Q"&amp;ROUNDUP(MONTH(A92)/3,0))</f>
        <v/>
      </c>
      <c r="D92" s="14" t="inlineStr">
        <is>
          <t>21/1544</t>
        </is>
      </c>
      <c r="E92" s="14" t="inlineStr">
        <is>
          <t>Antrag</t>
        </is>
      </c>
      <c r="F92" s="14" t="inlineStr">
        <is>
          <t>Gruene</t>
        </is>
      </c>
      <c r="G92" s="14" t="inlineStr">
        <is>
          <t>Opposition</t>
        </is>
      </c>
      <c r="H92" s="14" t="inlineStr">
        <is>
          <t>21</t>
        </is>
      </c>
      <c r="I92" s="14" t="inlineStr">
        <is>
          <t>Infrastruktur/Netz; Deutschlandtakt/Fahrplan; Finanzierung</t>
        </is>
      </c>
      <c r="J92" s="14" t="inlineStr"/>
      <c r="K92" s="15">
        <f>IF(OR(J92="",LEFT(E92,7)&lt;&gt;"Antwort"),"",IFERROR(A92-INDEX($A$2:$A$293,MATCH(J92,$D$2:$D$293,0)),""))</f>
        <v/>
      </c>
      <c r="L92" s="14">
        <f>IF(E92&lt;&gt;"Kleine Anfrage","",IFERROR(INDEX($D$2:$D$293,MATCH(D92,$J$2:$J$293,0)),"offen"))</f>
        <v/>
      </c>
      <c r="M92" s="14" t="inlineStr">
        <is>
          <t>Investitionen in die Erweiterung des Schienennetzes sicherstellen - Deutschlandtakt auf den Weg bringen</t>
        </is>
      </c>
      <c r="N92" s="14" t="inlineStr">
        <is>
          <t>Fraktion BÜNDNIS 90/DIE GRÜNEN</t>
        </is>
      </c>
      <c r="O92" s="16" t="inlineStr">
        <is>
          <t>PDF</t>
        </is>
      </c>
      <c r="P92" s="14" t="inlineStr"/>
      <c r="Q92" s="14" t="inlineStr"/>
      <c r="R92" s="14">
        <f>IF(COUNTIF(Abstimmungen!$B$5:$B$2000,D92)-COUNTIFS(Abstimmungen!$B$5:$B$2000,D92,Abstimmungen!$D$5:$D$2000,"*berweisung*")&gt;0,1,0)</f>
        <v/>
      </c>
    </row>
    <row r="93">
      <c r="A93" s="13" t="n">
        <v>45909</v>
      </c>
      <c r="B93" s="14">
        <f>IF(A93="","",YEAR(A93))</f>
        <v/>
      </c>
      <c r="C93" s="14">
        <f>IF(A93="","",YEAR(A93)&amp;"-Q"&amp;ROUNDUP(MONTH(A93)/3,0))</f>
        <v/>
      </c>
      <c r="D93" s="14" t="inlineStr">
        <is>
          <t>21/1543</t>
        </is>
      </c>
      <c r="E93" s="14" t="inlineStr">
        <is>
          <t>Antrag</t>
        </is>
      </c>
      <c r="F93" s="14" t="inlineStr">
        <is>
          <t>Gruene</t>
        </is>
      </c>
      <c r="G93" s="14" t="inlineStr">
        <is>
          <t>Opposition</t>
        </is>
      </c>
      <c r="H93" s="14" t="inlineStr">
        <is>
          <t>21</t>
        </is>
      </c>
      <c r="I93" s="14" t="inlineStr">
        <is>
          <t>Deutschlandticket</t>
        </is>
      </c>
      <c r="J93" s="14" t="inlineStr"/>
      <c r="K93" s="15">
        <f>IF(OR(J93="",LEFT(E93,7)&lt;&gt;"Antwort"),"",IFERROR(A93-INDEX($A$2:$A$293,MATCH(J93,$D$2:$D$293,0)),""))</f>
        <v/>
      </c>
      <c r="L93" s="14">
        <f>IF(E93&lt;&gt;"Kleine Anfrage","",IFERROR(INDEX($D$2:$D$293,MATCH(D93,$J$2:$J$293,0)),"offen"))</f>
        <v/>
      </c>
      <c r="M93" s="14" t="inlineStr">
        <is>
          <t>Deutschlandticket weiterentwickeln und langfristig sichern</t>
        </is>
      </c>
      <c r="N93" s="14" t="inlineStr">
        <is>
          <t>Fraktion BÜNDNIS 90/DIE GRÜNEN</t>
        </is>
      </c>
      <c r="O93" s="16" t="inlineStr">
        <is>
          <t>PDF</t>
        </is>
      </c>
      <c r="P93" s="14" t="inlineStr"/>
      <c r="Q93" s="14" t="inlineStr"/>
      <c r="R93" s="14">
        <f>IF(COUNTIF(Abstimmungen!$B$5:$B$2000,D93)-COUNTIFS(Abstimmungen!$B$5:$B$2000,D93,Abstimmungen!$D$5:$D$2000,"*berweisung*")&gt;0,1,0)</f>
        <v/>
      </c>
    </row>
    <row r="94">
      <c r="A94" s="13" t="n">
        <v>45908</v>
      </c>
      <c r="B94" s="14">
        <f>IF(A94="","",YEAR(A94))</f>
        <v/>
      </c>
      <c r="C94" s="14">
        <f>IF(A94="","",YEAR(A94)&amp;"-Q"&amp;ROUNDUP(MONTH(A94)/3,0))</f>
        <v/>
      </c>
      <c r="D94" s="14" t="inlineStr">
        <is>
          <t>21/1499</t>
        </is>
      </c>
      <c r="E94" s="14" t="inlineStr">
        <is>
          <t>Gesetzentwurf</t>
        </is>
      </c>
      <c r="F94" s="14" t="inlineStr">
        <is>
          <t>Bundesregierung</t>
        </is>
      </c>
      <c r="G94" s="14" t="inlineStr">
        <is>
          <t>Regierung</t>
        </is>
      </c>
      <c r="H94" s="14" t="inlineStr">
        <is>
          <t>21</t>
        </is>
      </c>
      <c r="I94" s="14" t="inlineStr">
        <is>
          <t>Sonstiges</t>
        </is>
      </c>
      <c r="J94" s="14" t="inlineStr"/>
      <c r="K94" s="15">
        <f>IF(OR(J94="",LEFT(E94,7)&lt;&gt;"Antwort"),"",IFERROR(A94-INDEX($A$2:$A$293,MATCH(J94,$D$2:$D$293,0)),""))</f>
        <v/>
      </c>
      <c r="L94" s="14">
        <f>IF(E94&lt;&gt;"Kleine Anfrage","",IFERROR(INDEX($D$2:$D$293,MATCH(D94,$J$2:$J$293,0)),"offen"))</f>
        <v/>
      </c>
      <c r="M94" s="14" t="inlineStr">
        <is>
          <t>Entwurf eines Gesetzes zur Abmilderung des Trassenentgeltanstiegs bei den Eisenbahnen des Bundes</t>
        </is>
      </c>
      <c r="N94" s="14" t="inlineStr">
        <is>
          <t>Bundesregierung</t>
        </is>
      </c>
      <c r="O94" s="16" t="inlineStr">
        <is>
          <t>PDF</t>
        </is>
      </c>
      <c r="P94" s="14" t="inlineStr"/>
      <c r="Q94" s="14" t="inlineStr"/>
      <c r="R94" s="14">
        <f>IF(COUNTIF(Abstimmungen!$B$5:$B$2000,D94)-COUNTIFS(Abstimmungen!$B$5:$B$2000,D94,Abstimmungen!$D$5:$D$2000,"*berweisung*")&gt;0,1,0)</f>
        <v/>
      </c>
    </row>
    <row r="95">
      <c r="A95" s="13" t="n">
        <v>45905</v>
      </c>
      <c r="B95" s="14">
        <f>IF(A95="","",YEAR(A95))</f>
        <v/>
      </c>
      <c r="C95" s="14">
        <f>IF(A95="","",YEAR(A95)&amp;"-Q"&amp;ROUNDUP(MONTH(A95)/3,0))</f>
        <v/>
      </c>
      <c r="D95" s="14" t="inlineStr">
        <is>
          <t>21/1512</t>
        </is>
      </c>
      <c r="E95" s="14" t="inlineStr">
        <is>
          <t>Antwort</t>
        </is>
      </c>
      <c r="F95" s="14" t="inlineStr">
        <is>
          <t>Bundesregierung</t>
        </is>
      </c>
      <c r="G95" s="14" t="inlineStr">
        <is>
          <t>Regierung</t>
        </is>
      </c>
      <c r="H95" s="14" t="inlineStr">
        <is>
          <t>21</t>
        </is>
      </c>
      <c r="I95" s="14" t="inlineStr">
        <is>
          <t>Sonstiges</t>
        </is>
      </c>
      <c r="J95" s="14" t="inlineStr">
        <is>
          <t>21/1329</t>
        </is>
      </c>
      <c r="K95" s="15">
        <f>IF(OR(J95="",LEFT(E95,7)&lt;&gt;"Antwort"),"",IFERROR(A95-INDEX($A$2:$A$293,MATCH(J95,$D$2:$D$293,0)),""))</f>
        <v/>
      </c>
      <c r="L95" s="14">
        <f>IF(E95&lt;&gt;"Kleine Anfrage","",IFERROR(INDEX($D$2:$D$293,MATCH(D95,$J$2:$J$293,0)),"offen"))</f>
        <v/>
      </c>
      <c r="M95" s="14" t="inlineStr">
        <is>
          <t>Neues Werk der Deutschen Bahn in Cottbus</t>
        </is>
      </c>
      <c r="N95" s="14" t="inlineStr">
        <is>
          <t>Bundesregierung</t>
        </is>
      </c>
      <c r="O95" s="16" t="inlineStr">
        <is>
          <t>PDF</t>
        </is>
      </c>
      <c r="P95" s="14" t="inlineStr">
        <is>
          <t>Linke</t>
        </is>
      </c>
      <c r="Q95" s="14" t="inlineStr"/>
      <c r="R95" s="14">
        <f>IF(COUNTIF(Abstimmungen!$B$5:$B$2000,D95)-COUNTIFS(Abstimmungen!$B$5:$B$2000,D95,Abstimmungen!$D$5:$D$2000,"*berweisung*")&gt;0,1,0)</f>
        <v/>
      </c>
    </row>
    <row r="96">
      <c r="A96" s="13" t="n">
        <v>45905</v>
      </c>
      <c r="B96" s="14">
        <f>IF(A96="","",YEAR(A96))</f>
        <v/>
      </c>
      <c r="C96" s="14">
        <f>IF(A96="","",YEAR(A96)&amp;"-Q"&amp;ROUNDUP(MONTH(A96)/3,0))</f>
        <v/>
      </c>
      <c r="D96" s="14" t="inlineStr">
        <is>
          <t>21/1015</t>
        </is>
      </c>
      <c r="E96" s="14" t="inlineStr">
        <is>
          <t>Kleine Anfrage</t>
        </is>
      </c>
      <c r="F96" s="14" t="inlineStr">
        <is>
          <t>AfD</t>
        </is>
      </c>
      <c r="G96" s="14" t="inlineStr">
        <is>
          <t>Opposition</t>
        </is>
      </c>
      <c r="H96" s="14" t="inlineStr">
        <is>
          <t>21</t>
        </is>
      </c>
      <c r="I96" s="14" t="inlineStr">
        <is>
          <t>Puenktlichkeit/Qualitaet; Sicherheit</t>
        </is>
      </c>
      <c r="J96" s="14" t="inlineStr"/>
      <c r="K96" s="15">
        <f>IF(OR(J96="",LEFT(E96,7)&lt;&gt;"Antwort"),"",IFERROR(A96-INDEX($A$2:$A$293,MATCH(J96,$D$2:$D$293,0)),""))</f>
        <v/>
      </c>
      <c r="L96" s="14">
        <f>IF(E96&lt;&gt;"Kleine Anfrage","",IFERROR(INDEX($D$2:$D$293,MATCH(D96,$J$2:$J$293,0)),"offen"))</f>
        <v/>
      </c>
      <c r="M96" s="14" t="inlineStr">
        <is>
          <t>Störungen im Betriebsablauf bei der Deutschen Bahn AG und deren Auswirkungen auf Sicherheit und Pünktlichkeit</t>
        </is>
      </c>
      <c r="N96" s="14" t="inlineStr">
        <is>
          <t>Fraktion der AfD</t>
        </is>
      </c>
      <c r="O96" s="16" t="inlineStr">
        <is>
          <t>PDF</t>
        </is>
      </c>
      <c r="P96" s="14" t="inlineStr"/>
      <c r="Q96" s="14" t="inlineStr"/>
      <c r="R96" s="14">
        <f>IF(COUNTIF(Abstimmungen!$B$5:$B$2000,D96)-COUNTIFS(Abstimmungen!$B$5:$B$2000,D96,Abstimmungen!$D$5:$D$2000,"*berweisung*")&gt;0,1,0)</f>
        <v/>
      </c>
    </row>
    <row r="97">
      <c r="A97" s="13" t="n">
        <v>45894</v>
      </c>
      <c r="B97" s="14">
        <f>IF(A97="","",YEAR(A97))</f>
        <v/>
      </c>
      <c r="C97" s="14">
        <f>IF(A97="","",YEAR(A97)&amp;"-Q"&amp;ROUNDUP(MONTH(A97)/3,0))</f>
        <v/>
      </c>
      <c r="D97" s="14" t="inlineStr">
        <is>
          <t>21/1342</t>
        </is>
      </c>
      <c r="E97" s="14" t="inlineStr">
        <is>
          <t>Kleine Anfrage</t>
        </is>
      </c>
      <c r="F97" s="14" t="inlineStr">
        <is>
          <t>AfD</t>
        </is>
      </c>
      <c r="G97" s="14" t="inlineStr">
        <is>
          <t>Opposition</t>
        </is>
      </c>
      <c r="H97" s="14" t="inlineStr">
        <is>
          <t>21</t>
        </is>
      </c>
      <c r="I97" s="14" t="inlineStr">
        <is>
          <t>Bahnhoefe; Kriminalitaet</t>
        </is>
      </c>
      <c r="J97" s="14" t="inlineStr"/>
      <c r="K97" s="15">
        <f>IF(OR(J97="",LEFT(E97,7)&lt;&gt;"Antwort"),"",IFERROR(A97-INDEX($A$2:$A$293,MATCH(J97,$D$2:$D$293,0)),""))</f>
        <v/>
      </c>
      <c r="L97" s="14">
        <f>IF(E97&lt;&gt;"Kleine Anfrage","",IFERROR(INDEX($D$2:$D$293,MATCH(D97,$J$2:$J$293,0)),"offen"))</f>
        <v/>
      </c>
      <c r="M97" s="14" t="inlineStr">
        <is>
          <t>Kriminalitätsfelder in Bezug auf Bahnhöfe und Züge in Baden-Württemberg im ersten Halbjahr 2025</t>
        </is>
      </c>
      <c r="N97" s="14" t="inlineStr">
        <is>
          <t>Fraktion der AfD</t>
        </is>
      </c>
      <c r="O97" s="16" t="inlineStr">
        <is>
          <t>PDF</t>
        </is>
      </c>
      <c r="P97" s="14" t="inlineStr"/>
      <c r="Q97" s="14" t="inlineStr">
        <is>
          <t>Bahnhöfe / Kriminalitätsfelder</t>
        </is>
      </c>
      <c r="R97" s="14">
        <f>IF(COUNTIF(Abstimmungen!$B$5:$B$2000,D97)-COUNTIFS(Abstimmungen!$B$5:$B$2000,D97,Abstimmungen!$D$5:$D$2000,"*berweisung*")&gt;0,1,0)</f>
        <v/>
      </c>
    </row>
    <row r="98">
      <c r="A98" s="13" t="n">
        <v>45891</v>
      </c>
      <c r="B98" s="14">
        <f>IF(A98="","",YEAR(A98))</f>
        <v/>
      </c>
      <c r="C98" s="14">
        <f>IF(A98="","",YEAR(A98)&amp;"-Q"&amp;ROUNDUP(MONTH(A98)/3,0))</f>
        <v/>
      </c>
      <c r="D98" s="14" t="inlineStr">
        <is>
          <t>21/1329</t>
        </is>
      </c>
      <c r="E98" s="14" t="inlineStr">
        <is>
          <t>Kleine Anfrage</t>
        </is>
      </c>
      <c r="F98" s="14" t="inlineStr">
        <is>
          <t>Linke</t>
        </is>
      </c>
      <c r="G98" s="14" t="inlineStr">
        <is>
          <t>Opposition</t>
        </is>
      </c>
      <c r="H98" s="14" t="inlineStr">
        <is>
          <t>21</t>
        </is>
      </c>
      <c r="I98" s="14" t="inlineStr">
        <is>
          <t>Sonstiges</t>
        </is>
      </c>
      <c r="J98" s="14" t="inlineStr"/>
      <c r="K98" s="15">
        <f>IF(OR(J98="",LEFT(E98,7)&lt;&gt;"Antwort"),"",IFERROR(A98-INDEX($A$2:$A$293,MATCH(J98,$D$2:$D$293,0)),""))</f>
        <v/>
      </c>
      <c r="L98" s="14">
        <f>IF(E98&lt;&gt;"Kleine Anfrage","",IFERROR(INDEX($D$2:$D$293,MATCH(D98,$J$2:$J$293,0)),"offen"))</f>
        <v/>
      </c>
      <c r="M98" s="14" t="inlineStr">
        <is>
          <t>Neues Werk der Deutschen Bahn in Cottbus</t>
        </is>
      </c>
      <c r="N98" s="14" t="inlineStr">
        <is>
          <t>Fraktion DIE LINKE</t>
        </is>
      </c>
      <c r="O98" s="16" t="inlineStr">
        <is>
          <t>PDF</t>
        </is>
      </c>
      <c r="P98" s="14" t="inlineStr"/>
      <c r="Q98" s="14" t="inlineStr"/>
      <c r="R98" s="14">
        <f>IF(COUNTIF(Abstimmungen!$B$5:$B$2000,D98)-COUNTIFS(Abstimmungen!$B$5:$B$2000,D98,Abstimmungen!$D$5:$D$2000,"*berweisung*")&gt;0,1,0)</f>
        <v/>
      </c>
    </row>
    <row r="99">
      <c r="A99" s="13" t="n">
        <v>45867</v>
      </c>
      <c r="B99" s="14">
        <f>IF(A99="","",YEAR(A99))</f>
        <v/>
      </c>
      <c r="C99" s="14">
        <f>IF(A99="","",YEAR(A99)&amp;"-Q"&amp;ROUNDUP(MONTH(A99)/3,0))</f>
        <v/>
      </c>
      <c r="D99" s="14" t="inlineStr">
        <is>
          <t>21/1066</t>
        </is>
      </c>
      <c r="E99" s="14" t="inlineStr">
        <is>
          <t>Unterrichtung</t>
        </is>
      </c>
      <c r="F99" s="14" t="inlineStr">
        <is>
          <t>Bundesnetzagentur für Elektrizität, Gas, Telekommunikation, Post und Eisenbahnen</t>
        </is>
      </c>
      <c r="G99" s="14" t="inlineStr">
        <is>
          <t>Sonstige</t>
        </is>
      </c>
      <c r="H99" s="14" t="inlineStr">
        <is>
          <t>21</t>
        </is>
      </c>
      <c r="I99" s="14" t="inlineStr">
        <is>
          <t>Sonstiges</t>
        </is>
      </c>
      <c r="J99" s="14" t="inlineStr"/>
      <c r="K99" s="15">
        <f>IF(OR(J99="",LEFT(E99,7)&lt;&gt;"Antwort"),"",IFERROR(A99-INDEX($A$2:$A$293,MATCH(J99,$D$2:$D$293,0)),""))</f>
        <v/>
      </c>
      <c r="L99" s="14">
        <f>IF(E99&lt;&gt;"Kleine Anfrage","",IFERROR(INDEX($D$2:$D$293,MATCH(D99,$J$2:$J$293,0)),"offen"))</f>
        <v/>
      </c>
      <c r="M99" s="14" t="inlineStr">
        <is>
          <t>Tätigkeitsbericht der Bundesnetzagentur - Eisenbahnen 2023/2024</t>
        </is>
      </c>
      <c r="N99" s="14" t="inlineStr">
        <is>
          <t>Bundesnetzagentur für Elektrizität, Gas, Telekommunikation, Post und Eisenbahnen</t>
        </is>
      </c>
      <c r="O99" s="16" t="inlineStr">
        <is>
          <t>PDF</t>
        </is>
      </c>
      <c r="P99" s="14" t="inlineStr"/>
      <c r="Q99" s="14" t="inlineStr"/>
      <c r="R99" s="14">
        <f>IF(COUNTIF(Abstimmungen!$B$5:$B$2000,D99)-COUNTIFS(Abstimmungen!$B$5:$B$2000,D99,Abstimmungen!$D$5:$D$2000,"*berweisung*")&gt;0,1,0)</f>
        <v/>
      </c>
    </row>
    <row r="100">
      <c r="A100" s="13" t="n">
        <v>45867</v>
      </c>
      <c r="B100" s="14">
        <f>IF(A100="","",YEAR(A100))</f>
        <v/>
      </c>
      <c r="C100" s="14">
        <f>IF(A100="","",YEAR(A100)&amp;"-Q"&amp;ROUNDUP(MONTH(A100)/3,0))</f>
        <v/>
      </c>
      <c r="D100" s="14" t="inlineStr">
        <is>
          <t>21/1095</t>
        </is>
      </c>
      <c r="E100" s="14" t="inlineStr">
        <is>
          <t>Antwort</t>
        </is>
      </c>
      <c r="F100" s="14" t="inlineStr">
        <is>
          <t>Bundesregierung</t>
        </is>
      </c>
      <c r="G100" s="14" t="inlineStr">
        <is>
          <t>Regierung</t>
        </is>
      </c>
      <c r="H100" s="14" t="inlineStr">
        <is>
          <t>21</t>
        </is>
      </c>
      <c r="I100" s="14" t="inlineStr">
        <is>
          <t>Bahnhoefe; Kriminalitaet</t>
        </is>
      </c>
      <c r="J100" s="14" t="inlineStr">
        <is>
          <t>21/884</t>
        </is>
      </c>
      <c r="K100" s="15">
        <f>IF(OR(J100="",LEFT(E100,7)&lt;&gt;"Antwort"),"",IFERROR(A100-INDEX($A$2:$A$293,MATCH(J100,$D$2:$D$293,0)),""))</f>
        <v/>
      </c>
      <c r="L100" s="14">
        <f>IF(E100&lt;&gt;"Kleine Anfrage","",IFERROR(INDEX($D$2:$D$293,MATCH(D100,$J$2:$J$293,0)),"offen"))</f>
        <v/>
      </c>
      <c r="M100" s="14" t="inlineStr">
        <is>
          <t>Kriminalitätsfelder in Bezug auf Bahnhöfe und Züge im ersten Halbjahr 2025</t>
        </is>
      </c>
      <c r="N100" s="14" t="inlineStr">
        <is>
          <t>Bundesregierung</t>
        </is>
      </c>
      <c r="O100" s="16" t="inlineStr">
        <is>
          <t>PDF</t>
        </is>
      </c>
      <c r="P100" s="14" t="inlineStr">
        <is>
          <t>AfD</t>
        </is>
      </c>
      <c r="Q100" s="14" t="inlineStr"/>
      <c r="R100" s="14">
        <f>IF(COUNTIF(Abstimmungen!$B$5:$B$2000,D100)-COUNTIFS(Abstimmungen!$B$5:$B$2000,D100,Abstimmungen!$D$5:$D$2000,"*berweisung*")&gt;0,1,0)</f>
        <v/>
      </c>
    </row>
    <row r="101">
      <c r="A101" s="13" t="n">
        <v>45862</v>
      </c>
      <c r="B101" s="14">
        <f>IF(A101="","",YEAR(A101))</f>
        <v/>
      </c>
      <c r="C101" s="14">
        <f>IF(A101="","",YEAR(A101)&amp;"-Q"&amp;ROUNDUP(MONTH(A101)/3,0))</f>
        <v/>
      </c>
      <c r="D101" s="14" t="inlineStr">
        <is>
          <t>21/1057</t>
        </is>
      </c>
      <c r="E101" s="14" t="inlineStr">
        <is>
          <t>Antwort</t>
        </is>
      </c>
      <c r="F101" s="14" t="inlineStr">
        <is>
          <t>Bundesregierung</t>
        </is>
      </c>
      <c r="G101" s="14" t="inlineStr">
        <is>
          <t>Regierung</t>
        </is>
      </c>
      <c r="H101" s="14" t="inlineStr">
        <is>
          <t>21</t>
        </is>
      </c>
      <c r="I101" s="14" t="inlineStr">
        <is>
          <t>Bahnhoefe; Kriminalitaet</t>
        </is>
      </c>
      <c r="J101" s="14" t="inlineStr">
        <is>
          <t>21/875</t>
        </is>
      </c>
      <c r="K101" s="15">
        <f>IF(OR(J101="",LEFT(E101,7)&lt;&gt;"Antwort"),"",IFERROR(A101-INDEX($A$2:$A$293,MATCH(J101,$D$2:$D$293,0)),""))</f>
        <v/>
      </c>
      <c r="L101" s="14">
        <f>IF(E101&lt;&gt;"Kleine Anfrage","",IFERROR(INDEX($D$2:$D$293,MATCH(D101,$J$2:$J$293,0)),"offen"))</f>
        <v/>
      </c>
      <c r="M101" s="14" t="inlineStr">
        <is>
          <t>Straftaten an Thüringer Bahnhöfen und Flughäfen in dem Jahr 2024</t>
        </is>
      </c>
      <c r="N101" s="14" t="inlineStr">
        <is>
          <t>Bundesregierung</t>
        </is>
      </c>
      <c r="O101" s="16" t="inlineStr">
        <is>
          <t>PDF</t>
        </is>
      </c>
      <c r="P101" s="14" t="inlineStr">
        <is>
          <t>AfD</t>
        </is>
      </c>
      <c r="Q101" s="14" t="inlineStr"/>
      <c r="R101" s="14">
        <f>IF(COUNTIF(Abstimmungen!$B$5:$B$2000,D101)-COUNTIFS(Abstimmungen!$B$5:$B$2000,D101,Abstimmungen!$D$5:$D$2000,"*berweisung*")&gt;0,1,0)</f>
        <v/>
      </c>
    </row>
    <row r="102">
      <c r="A102" s="13" t="n">
        <v>45854</v>
      </c>
      <c r="B102" s="14">
        <f>IF(A102="","",YEAR(A102))</f>
        <v/>
      </c>
      <c r="C102" s="14">
        <f>IF(A102="","",YEAR(A102)&amp;"-Q"&amp;ROUNDUP(MONTH(A102)/3,0))</f>
        <v/>
      </c>
      <c r="D102" s="14" t="inlineStr">
        <is>
          <t>21/884</t>
        </is>
      </c>
      <c r="E102" s="14" t="inlineStr">
        <is>
          <t>Kleine Anfrage</t>
        </is>
      </c>
      <c r="F102" s="14" t="inlineStr">
        <is>
          <t>AfD</t>
        </is>
      </c>
      <c r="G102" s="14" t="inlineStr">
        <is>
          <t>Opposition</t>
        </is>
      </c>
      <c r="H102" s="14" t="inlineStr">
        <is>
          <t>21</t>
        </is>
      </c>
      <c r="I102" s="14" t="inlineStr">
        <is>
          <t>Bahnhoefe; Kriminalitaet</t>
        </is>
      </c>
      <c r="J102" s="14" t="inlineStr"/>
      <c r="K102" s="15">
        <f>IF(OR(J102="",LEFT(E102,7)&lt;&gt;"Antwort"),"",IFERROR(A102-INDEX($A$2:$A$293,MATCH(J102,$D$2:$D$293,0)),""))</f>
        <v/>
      </c>
      <c r="L102" s="14">
        <f>IF(E102&lt;&gt;"Kleine Anfrage","",IFERROR(INDEX($D$2:$D$293,MATCH(D102,$J$2:$J$293,0)),"offen"))</f>
        <v/>
      </c>
      <c r="M102" s="14" t="inlineStr">
        <is>
          <t>Kriminalitätsfelder in Bezug auf Bahnhöfe und Züge im ersten Halbjahr 2025</t>
        </is>
      </c>
      <c r="N102" s="14" t="inlineStr">
        <is>
          <t>Fraktion der AfD</t>
        </is>
      </c>
      <c r="O102" s="16" t="inlineStr">
        <is>
          <t>PDF</t>
        </is>
      </c>
      <c r="P102" s="14" t="inlineStr"/>
      <c r="Q102" s="14" t="inlineStr">
        <is>
          <t>Bahnhöfe / Kriminalitätsfelder</t>
        </is>
      </c>
      <c r="R102" s="14">
        <f>IF(COUNTIF(Abstimmungen!$B$5:$B$2000,D102)-COUNTIFS(Abstimmungen!$B$5:$B$2000,D102,Abstimmungen!$D$5:$D$2000,"*berweisung*")&gt;0,1,0)</f>
        <v/>
      </c>
    </row>
    <row r="103">
      <c r="A103" s="13" t="n">
        <v>45853</v>
      </c>
      <c r="B103" s="14">
        <f>IF(A103="","",YEAR(A103))</f>
        <v/>
      </c>
      <c r="C103" s="14">
        <f>IF(A103="","",YEAR(A103)&amp;"-Q"&amp;ROUNDUP(MONTH(A103)/3,0))</f>
        <v/>
      </c>
      <c r="D103" s="14" t="inlineStr">
        <is>
          <t>21/875</t>
        </is>
      </c>
      <c r="E103" s="14" t="inlineStr">
        <is>
          <t>Kleine Anfrage</t>
        </is>
      </c>
      <c r="F103" s="14" t="inlineStr">
        <is>
          <t>AfD</t>
        </is>
      </c>
      <c r="G103" s="14" t="inlineStr">
        <is>
          <t>Opposition</t>
        </is>
      </c>
      <c r="H103" s="14" t="inlineStr">
        <is>
          <t>21</t>
        </is>
      </c>
      <c r="I103" s="14" t="inlineStr">
        <is>
          <t>Bahnhoefe; Kriminalitaet</t>
        </is>
      </c>
      <c r="J103" s="14" t="inlineStr"/>
      <c r="K103" s="15">
        <f>IF(OR(J103="",LEFT(E103,7)&lt;&gt;"Antwort"),"",IFERROR(A103-INDEX($A$2:$A$293,MATCH(J103,$D$2:$D$293,0)),""))</f>
        <v/>
      </c>
      <c r="L103" s="14">
        <f>IF(E103&lt;&gt;"Kleine Anfrage","",IFERROR(INDEX($D$2:$D$293,MATCH(D103,$J$2:$J$293,0)),"offen"))</f>
        <v/>
      </c>
      <c r="M103" s="14" t="inlineStr">
        <is>
          <t>Straftaten an Thüringer Bahnhöfen und Flughäfen in dem Jahr 2024</t>
        </is>
      </c>
      <c r="N103" s="14" t="inlineStr">
        <is>
          <t>Fraktion der AfD</t>
        </is>
      </c>
      <c r="O103" s="16" t="inlineStr">
        <is>
          <t>PDF</t>
        </is>
      </c>
      <c r="P103" s="14" t="inlineStr"/>
      <c r="Q103" s="14" t="inlineStr">
        <is>
          <t>Bahnhöfen / Straftaten</t>
        </is>
      </c>
      <c r="R103" s="14">
        <f>IF(COUNTIF(Abstimmungen!$B$5:$B$2000,D103)-COUNTIFS(Abstimmungen!$B$5:$B$2000,D103,Abstimmungen!$D$5:$D$2000,"*berweisung*")&gt;0,1,0)</f>
        <v/>
      </c>
    </row>
    <row r="104">
      <c r="A104" s="13" t="n">
        <v>45852</v>
      </c>
      <c r="B104" s="14">
        <f>IF(A104="","",YEAR(A104))</f>
        <v/>
      </c>
      <c r="C104" s="14">
        <f>IF(A104="","",YEAR(A104)&amp;"-Q"&amp;ROUNDUP(MONTH(A104)/3,0))</f>
        <v/>
      </c>
      <c r="D104" s="14" t="inlineStr">
        <is>
          <t>21/896</t>
        </is>
      </c>
      <c r="E104" s="14" t="inlineStr">
        <is>
          <t>Antwort</t>
        </is>
      </c>
      <c r="F104" s="14" t="inlineStr">
        <is>
          <t>Bundesregierung</t>
        </is>
      </c>
      <c r="G104" s="14" t="inlineStr">
        <is>
          <t>Regierung</t>
        </is>
      </c>
      <c r="H104" s="14" t="inlineStr">
        <is>
          <t>21</t>
        </is>
      </c>
      <c r="I104" s="14" t="inlineStr">
        <is>
          <t>Infrastruktur/Netz; Konzernstruktur/DB AG</t>
        </is>
      </c>
      <c r="J104" s="14" t="inlineStr">
        <is>
          <t>21/539</t>
        </is>
      </c>
      <c r="K104" s="15">
        <f>IF(OR(J104="",LEFT(E104,7)&lt;&gt;"Antwort"),"",IFERROR(A104-INDEX($A$2:$A$293,MATCH(J104,$D$2:$D$293,0)),""))</f>
        <v/>
      </c>
      <c r="L104" s="14">
        <f>IF(E104&lt;&gt;"Kleine Anfrage","",IFERROR(INDEX($D$2:$D$293,MATCH(D104,$J$2:$J$293,0)),"offen"))</f>
        <v/>
      </c>
      <c r="M104" s="14" t="inlineStr">
        <is>
          <t>Generalsanierung der Bahnstrecke Hamburg - Berlin durch die Deutsche Bahn InfraGO AG</t>
        </is>
      </c>
      <c r="N104" s="14" t="inlineStr">
        <is>
          <t>Bundesregierung</t>
        </is>
      </c>
      <c r="O104" s="16" t="inlineStr">
        <is>
          <t>PDF</t>
        </is>
      </c>
      <c r="P104" s="14" t="inlineStr">
        <is>
          <t>Linke</t>
        </is>
      </c>
      <c r="Q104" s="14" t="inlineStr"/>
      <c r="R104" s="14">
        <f>IF(COUNTIF(Abstimmungen!$B$5:$B$2000,D104)-COUNTIFS(Abstimmungen!$B$5:$B$2000,D104,Abstimmungen!$D$5:$D$2000,"*berweisung*")&gt;0,1,0)</f>
        <v/>
      </c>
    </row>
    <row r="105">
      <c r="A105" s="13" t="n">
        <v>45847</v>
      </c>
      <c r="B105" s="14">
        <f>IF(A105="","",YEAR(A105))</f>
        <v/>
      </c>
      <c r="C105" s="14">
        <f>IF(A105="","",YEAR(A105)&amp;"-Q"&amp;ROUNDUP(MONTH(A105)/3,0))</f>
        <v/>
      </c>
      <c r="D105" s="14" t="inlineStr">
        <is>
          <t>21/822</t>
        </is>
      </c>
      <c r="E105" s="14" t="inlineStr">
        <is>
          <t>Antwort</t>
        </is>
      </c>
      <c r="F105" s="14" t="inlineStr">
        <is>
          <t>Bundesregierung</t>
        </is>
      </c>
      <c r="G105" s="14" t="inlineStr">
        <is>
          <t>Regierung</t>
        </is>
      </c>
      <c r="H105" s="14" t="inlineStr">
        <is>
          <t>21</t>
        </is>
      </c>
      <c r="I105" s="14" t="inlineStr">
        <is>
          <t>Konzernstruktur/DB AG</t>
        </is>
      </c>
      <c r="J105" s="14" t="inlineStr">
        <is>
          <t>21/665</t>
        </is>
      </c>
      <c r="K105" s="15">
        <f>IF(OR(J105="",LEFT(E105,7)&lt;&gt;"Antwort"),"",IFERROR(A105-INDEX($A$2:$A$293,MATCH(J105,$D$2:$D$293,0)),""))</f>
        <v/>
      </c>
      <c r="L105" s="14">
        <f>IF(E105&lt;&gt;"Kleine Anfrage","",IFERROR(INDEX($D$2:$D$293,MATCH(D105,$J$2:$J$293,0)),"offen"))</f>
        <v/>
      </c>
      <c r="M105" s="14" t="inlineStr">
        <is>
          <t>Entwicklung Gesamtwert Infrastruktur-Großprojekte sowie Zeitpläne der Deutschen Bahn InfraGO</t>
        </is>
      </c>
      <c r="N105" s="14" t="inlineStr">
        <is>
          <t>Bundesregierung</t>
        </is>
      </c>
      <c r="O105" s="16" t="inlineStr">
        <is>
          <t>PDF</t>
        </is>
      </c>
      <c r="P105" s="14" t="inlineStr">
        <is>
          <t>Gruene</t>
        </is>
      </c>
      <c r="Q105" s="14" t="inlineStr"/>
      <c r="R105" s="14">
        <f>IF(COUNTIF(Abstimmungen!$B$5:$B$2000,D105)-COUNTIFS(Abstimmungen!$B$5:$B$2000,D105,Abstimmungen!$D$5:$D$2000,"*berweisung*")&gt;0,1,0)</f>
        <v/>
      </c>
    </row>
    <row r="106">
      <c r="A106" s="13" t="n">
        <v>45847</v>
      </c>
      <c r="B106" s="14">
        <f>IF(A106="","",YEAR(A106))</f>
        <v/>
      </c>
      <c r="C106" s="14">
        <f>IF(A106="","",YEAR(A106)&amp;"-Q"&amp;ROUNDUP(MONTH(A106)/3,0))</f>
        <v/>
      </c>
      <c r="D106" s="14" t="inlineStr">
        <is>
          <t>21/838</t>
        </is>
      </c>
      <c r="E106" s="14" t="inlineStr">
        <is>
          <t>Antwort</t>
        </is>
      </c>
      <c r="F106" s="14" t="inlineStr">
        <is>
          <t>Bundesregierung</t>
        </is>
      </c>
      <c r="G106" s="14" t="inlineStr">
        <is>
          <t>Regierung</t>
        </is>
      </c>
      <c r="H106" s="14" t="inlineStr">
        <is>
          <t>21</t>
        </is>
      </c>
      <c r="I106" s="14" t="inlineStr">
        <is>
          <t>Deutschlandtakt/Fahrplan</t>
        </is>
      </c>
      <c r="J106" s="14" t="inlineStr">
        <is>
          <t>21/658</t>
        </is>
      </c>
      <c r="K106" s="15">
        <f>IF(OR(J106="",LEFT(E106,7)&lt;&gt;"Antwort"),"",IFERROR(A106-INDEX($A$2:$A$293,MATCH(J106,$D$2:$D$293,0)),""))</f>
        <v/>
      </c>
      <c r="L106" s="14">
        <f>IF(E106&lt;&gt;"Kleine Anfrage","",IFERROR(INDEX($D$2:$D$293,MATCH(D106,$J$2:$J$293,0)),"offen"))</f>
        <v/>
      </c>
      <c r="M106" s="14" t="inlineStr">
        <is>
          <t>Umsetzungsstand und Aufwendungen für den Deutschlandtakt im Rahmen des Bundesverkehrswegeplans 2030</t>
        </is>
      </c>
      <c r="N106" s="14" t="inlineStr">
        <is>
          <t>Bundesregierung</t>
        </is>
      </c>
      <c r="O106" s="16" t="inlineStr">
        <is>
          <t>PDF</t>
        </is>
      </c>
      <c r="P106" s="14" t="inlineStr">
        <is>
          <t>AfD</t>
        </is>
      </c>
      <c r="Q106" s="14" t="inlineStr"/>
      <c r="R106" s="14">
        <f>IF(COUNTIF(Abstimmungen!$B$5:$B$2000,D106)-COUNTIFS(Abstimmungen!$B$5:$B$2000,D106,Abstimmungen!$D$5:$D$2000,"*berweisung*")&gt;0,1,0)</f>
        <v/>
      </c>
    </row>
    <row r="107">
      <c r="A107" s="13" t="n">
        <v>45842</v>
      </c>
      <c r="B107" s="14">
        <f>IF(A107="","",YEAR(A107))</f>
        <v/>
      </c>
      <c r="C107" s="14">
        <f>IF(A107="","",YEAR(A107)&amp;"-Q"&amp;ROUNDUP(MONTH(A107)/3,0))</f>
        <v/>
      </c>
      <c r="D107" s="14" t="inlineStr">
        <is>
          <t>21/792</t>
        </is>
      </c>
      <c r="E107" s="14" t="inlineStr">
        <is>
          <t>Antwort</t>
        </is>
      </c>
      <c r="F107" s="14" t="inlineStr">
        <is>
          <t>Bundesregierung</t>
        </is>
      </c>
      <c r="G107" s="14" t="inlineStr">
        <is>
          <t>Regierung</t>
        </is>
      </c>
      <c r="H107" s="14" t="inlineStr">
        <is>
          <t>21</t>
        </is>
      </c>
      <c r="I107" s="14" t="inlineStr">
        <is>
          <t>Bahnhoefe</t>
        </is>
      </c>
      <c r="J107" s="14" t="inlineStr">
        <is>
          <t>21/532</t>
        </is>
      </c>
      <c r="K107" s="15">
        <f>IF(OR(J107="",LEFT(E107,7)&lt;&gt;"Antwort"),"",IFERROR(A107-INDEX($A$2:$A$293,MATCH(J107,$D$2:$D$293,0)),""))</f>
        <v/>
      </c>
      <c r="L107" s="14">
        <f>IF(E107&lt;&gt;"Kleine Anfrage","",IFERROR(INDEX($D$2:$D$293,MATCH(D107,$J$2:$J$293,0)),"offen"))</f>
        <v/>
      </c>
      <c r="M107" s="14" t="inlineStr">
        <is>
          <t>Modernisierung des Bahnhofs Calau - Niederlausitz</t>
        </is>
      </c>
      <c r="N107" s="14" t="inlineStr">
        <is>
          <t>Bundesregierung</t>
        </is>
      </c>
      <c r="O107" s="16" t="inlineStr">
        <is>
          <t>PDF</t>
        </is>
      </c>
      <c r="P107" s="14" t="inlineStr">
        <is>
          <t>Linke</t>
        </is>
      </c>
      <c r="Q107" s="14" t="inlineStr"/>
      <c r="R107" s="14">
        <f>IF(COUNTIF(Abstimmungen!$B$5:$B$2000,D107)-COUNTIFS(Abstimmungen!$B$5:$B$2000,D107,Abstimmungen!$D$5:$D$2000,"*berweisung*")&gt;0,1,0)</f>
        <v/>
      </c>
    </row>
    <row r="108">
      <c r="A108" s="13" t="n">
        <v>45834</v>
      </c>
      <c r="B108" s="14">
        <f>IF(A108="","",YEAR(A108))</f>
        <v/>
      </c>
      <c r="C108" s="14">
        <f>IF(A108="","",YEAR(A108)&amp;"-Q"&amp;ROUNDUP(MONTH(A108)/3,0))</f>
        <v/>
      </c>
      <c r="D108" s="14" t="inlineStr">
        <is>
          <t>21/665</t>
        </is>
      </c>
      <c r="E108" s="14" t="inlineStr">
        <is>
          <t>Kleine Anfrage</t>
        </is>
      </c>
      <c r="F108" s="14" t="inlineStr">
        <is>
          <t>Gruene</t>
        </is>
      </c>
      <c r="G108" s="14" t="inlineStr">
        <is>
          <t>Opposition</t>
        </is>
      </c>
      <c r="H108" s="14" t="inlineStr">
        <is>
          <t>21</t>
        </is>
      </c>
      <c r="I108" s="14" t="inlineStr">
        <is>
          <t>Konzernstruktur/DB AG</t>
        </is>
      </c>
      <c r="J108" s="14" t="inlineStr"/>
      <c r="K108" s="15">
        <f>IF(OR(J108="",LEFT(E108,7)&lt;&gt;"Antwort"),"",IFERROR(A108-INDEX($A$2:$A$293,MATCH(J108,$D$2:$D$293,0)),""))</f>
        <v/>
      </c>
      <c r="L108" s="14">
        <f>IF(E108&lt;&gt;"Kleine Anfrage","",IFERROR(INDEX($D$2:$D$293,MATCH(D108,$J$2:$J$293,0)),"offen"))</f>
        <v/>
      </c>
      <c r="M108" s="14" t="inlineStr">
        <is>
          <t>Entwicklung Gesamtwert Infrastruktur-Großprojekte sowie Zeitpläne der Deutschen Bahn InfraGO</t>
        </is>
      </c>
      <c r="N108" s="14" t="inlineStr">
        <is>
          <t>Fraktion BÜNDNIS 90/DIE GRÜNEN</t>
        </is>
      </c>
      <c r="O108" s="16" t="inlineStr">
        <is>
          <t>PDF</t>
        </is>
      </c>
      <c r="P108" s="14" t="inlineStr"/>
      <c r="Q108" s="14" t="inlineStr"/>
      <c r="R108" s="14">
        <f>IF(COUNTIF(Abstimmungen!$B$5:$B$2000,D108)-COUNTIFS(Abstimmungen!$B$5:$B$2000,D108,Abstimmungen!$D$5:$D$2000,"*berweisung*")&gt;0,1,0)</f>
        <v/>
      </c>
    </row>
    <row r="109">
      <c r="A109" s="13" t="n">
        <v>45834</v>
      </c>
      <c r="B109" s="14">
        <f>IF(A109="","",YEAR(A109))</f>
        <v/>
      </c>
      <c r="C109" s="14">
        <f>IF(A109="","",YEAR(A109)&amp;"-Q"&amp;ROUNDUP(MONTH(A109)/3,0))</f>
        <v/>
      </c>
      <c r="D109" s="14" t="inlineStr">
        <is>
          <t>21/658</t>
        </is>
      </c>
      <c r="E109" s="14" t="inlineStr">
        <is>
          <t>Kleine Anfrage</t>
        </is>
      </c>
      <c r="F109" s="14" t="inlineStr">
        <is>
          <t>AfD</t>
        </is>
      </c>
      <c r="G109" s="14" t="inlineStr">
        <is>
          <t>Opposition</t>
        </is>
      </c>
      <c r="H109" s="14" t="inlineStr">
        <is>
          <t>21</t>
        </is>
      </c>
      <c r="I109" s="14" t="inlineStr">
        <is>
          <t>Deutschlandtakt/Fahrplan</t>
        </is>
      </c>
      <c r="J109" s="14" t="inlineStr"/>
      <c r="K109" s="15">
        <f>IF(OR(J109="",LEFT(E109,7)&lt;&gt;"Antwort"),"",IFERROR(A109-INDEX($A$2:$A$293,MATCH(J109,$D$2:$D$293,0)),""))</f>
        <v/>
      </c>
      <c r="L109" s="14">
        <f>IF(E109&lt;&gt;"Kleine Anfrage","",IFERROR(INDEX($D$2:$D$293,MATCH(D109,$J$2:$J$293,0)),"offen"))</f>
        <v/>
      </c>
      <c r="M109" s="14" t="inlineStr">
        <is>
          <t>Umsetzungsstand und Aufwendungen für den Deutschlandtakt im Rahmen des Bundesverkehrswegeplans 2030</t>
        </is>
      </c>
      <c r="N109" s="14" t="inlineStr">
        <is>
          <t>Fraktion der AfD</t>
        </is>
      </c>
      <c r="O109" s="16" t="inlineStr">
        <is>
          <t>PDF</t>
        </is>
      </c>
      <c r="P109" s="14" t="inlineStr"/>
      <c r="Q109" s="14" t="inlineStr"/>
      <c r="R109" s="14">
        <f>IF(COUNTIF(Abstimmungen!$B$5:$B$2000,D109)-COUNTIFS(Abstimmungen!$B$5:$B$2000,D109,Abstimmungen!$D$5:$D$2000,"*berweisung*")&gt;0,1,0)</f>
        <v/>
      </c>
    </row>
    <row r="110">
      <c r="A110" s="13" t="n">
        <v>45833</v>
      </c>
      <c r="B110" s="14">
        <f>IF(A110="","",YEAR(A110))</f>
        <v/>
      </c>
      <c r="C110" s="14">
        <f>IF(A110="","",YEAR(A110)&amp;"-Q"&amp;ROUNDUP(MONTH(A110)/3,0))</f>
        <v/>
      </c>
      <c r="D110" s="14" t="inlineStr">
        <is>
          <t>21/642</t>
        </is>
      </c>
      <c r="E110" s="14" t="inlineStr">
        <is>
          <t>Beschlussempfehlung und Bericht</t>
        </is>
      </c>
      <c r="F110" s="14" t="inlineStr">
        <is>
          <t>Verkehrsausschuss</t>
        </is>
      </c>
      <c r="G110" s="14" t="inlineStr">
        <is>
          <t>Ausschuss</t>
        </is>
      </c>
      <c r="H110" s="14" t="inlineStr">
        <is>
          <t>21</t>
        </is>
      </c>
      <c r="I110" s="14" t="inlineStr">
        <is>
          <t>Sonstiges</t>
        </is>
      </c>
      <c r="J110" s="14" t="inlineStr">
        <is>
          <t>21/326</t>
        </is>
      </c>
      <c r="K110" s="15">
        <f>IF(OR(J110="",LEFT(E110,7)&lt;&gt;"Antwort"),"",IFERROR(A110-INDEX($A$2:$A$293,MATCH(J110,$D$2:$D$293,0)),""))</f>
        <v/>
      </c>
      <c r="L110" s="14">
        <f>IF(E110&lt;&gt;"Kleine Anfrage","",IFERROR(INDEX($D$2:$D$293,MATCH(D110,$J$2:$J$293,0)),"offen"))</f>
        <v/>
      </c>
      <c r="M110" s="14" t="inlineStr">
        <is>
          <t>Entwurf eines Sechsten Gesetzes zur Änderung des Allgemeinen Eisenbahngesetzes</t>
        </is>
      </c>
      <c r="N110" s="14" t="inlineStr">
        <is>
          <t>Verkehrsausschuss</t>
        </is>
      </c>
      <c r="O110" s="16" t="inlineStr">
        <is>
          <t>PDF</t>
        </is>
      </c>
      <c r="P110" s="14" t="inlineStr"/>
      <c r="Q110" s="14" t="inlineStr"/>
      <c r="R110" s="14">
        <f>IF(COUNTIF(Abstimmungen!$B$5:$B$2000,D110)-COUNTIFS(Abstimmungen!$B$5:$B$2000,D110,Abstimmungen!$D$5:$D$2000,"*berweisung*")&gt;0,1,0)</f>
        <v/>
      </c>
    </row>
    <row r="111">
      <c r="A111" s="13" t="n">
        <v>45831</v>
      </c>
      <c r="B111" s="14">
        <f>IF(A111="","",YEAR(A111))</f>
        <v/>
      </c>
      <c r="C111" s="14">
        <f>IF(A111="","",YEAR(A111)&amp;"-Q"&amp;ROUNDUP(MONTH(A111)/3,0))</f>
        <v/>
      </c>
      <c r="D111" s="14" t="inlineStr">
        <is>
          <t>21/539</t>
        </is>
      </c>
      <c r="E111" s="14" t="inlineStr">
        <is>
          <t>Kleine Anfrage</t>
        </is>
      </c>
      <c r="F111" s="14" t="inlineStr">
        <is>
          <t>Linke</t>
        </is>
      </c>
      <c r="G111" s="14" t="inlineStr">
        <is>
          <t>Opposition</t>
        </is>
      </c>
      <c r="H111" s="14" t="inlineStr">
        <is>
          <t>21</t>
        </is>
      </c>
      <c r="I111" s="14" t="inlineStr">
        <is>
          <t>Infrastruktur/Netz; Konzernstruktur/DB AG</t>
        </is>
      </c>
      <c r="J111" s="14" t="inlineStr"/>
      <c r="K111" s="15">
        <f>IF(OR(J111="",LEFT(E111,7)&lt;&gt;"Antwort"),"",IFERROR(A111-INDEX($A$2:$A$293,MATCH(J111,$D$2:$D$293,0)),""))</f>
        <v/>
      </c>
      <c r="L111" s="14">
        <f>IF(E111&lt;&gt;"Kleine Anfrage","",IFERROR(INDEX($D$2:$D$293,MATCH(D111,$J$2:$J$293,0)),"offen"))</f>
        <v/>
      </c>
      <c r="M111" s="14" t="inlineStr">
        <is>
          <t>Generalsanierung der Bahnstrecke Hamburg-Berlin durch die Deutsche Bahn InfraGO AG</t>
        </is>
      </c>
      <c r="N111" s="14" t="inlineStr">
        <is>
          <t>Fraktion DIE LINKE</t>
        </is>
      </c>
      <c r="O111" s="16" t="inlineStr">
        <is>
          <t>PDF</t>
        </is>
      </c>
      <c r="P111" s="14" t="inlineStr"/>
      <c r="Q111" s="14" t="inlineStr"/>
      <c r="R111" s="14">
        <f>IF(COUNTIF(Abstimmungen!$B$5:$B$2000,D111)-COUNTIFS(Abstimmungen!$B$5:$B$2000,D111,Abstimmungen!$D$5:$D$2000,"*berweisung*")&gt;0,1,0)</f>
        <v/>
      </c>
    </row>
    <row r="112">
      <c r="A112" s="13" t="n">
        <v>45828</v>
      </c>
      <c r="B112" s="14">
        <f>IF(A112="","",YEAR(A112))</f>
        <v/>
      </c>
      <c r="C112" s="14">
        <f>IF(A112="","",YEAR(A112)&amp;"-Q"&amp;ROUNDUP(MONTH(A112)/3,0))</f>
        <v/>
      </c>
      <c r="D112" s="14" t="inlineStr">
        <is>
          <t>21/532</t>
        </is>
      </c>
      <c r="E112" s="14" t="inlineStr">
        <is>
          <t>Kleine Anfrage</t>
        </is>
      </c>
      <c r="F112" s="14" t="inlineStr">
        <is>
          <t>Linke</t>
        </is>
      </c>
      <c r="G112" s="14" t="inlineStr">
        <is>
          <t>Opposition</t>
        </is>
      </c>
      <c r="H112" s="14" t="inlineStr">
        <is>
          <t>21</t>
        </is>
      </c>
      <c r="I112" s="14" t="inlineStr">
        <is>
          <t>Bahnhoefe</t>
        </is>
      </c>
      <c r="J112" s="14" t="inlineStr"/>
      <c r="K112" s="15">
        <f>IF(OR(J112="",LEFT(E112,7)&lt;&gt;"Antwort"),"",IFERROR(A112-INDEX($A$2:$A$293,MATCH(J112,$D$2:$D$293,0)),""))</f>
        <v/>
      </c>
      <c r="L112" s="14">
        <f>IF(E112&lt;&gt;"Kleine Anfrage","",IFERROR(INDEX($D$2:$D$293,MATCH(D112,$J$2:$J$293,0)),"offen"))</f>
        <v/>
      </c>
      <c r="M112" s="14" t="inlineStr">
        <is>
          <t>Modernisierung des Bahnhofs Calau - Niederlausitz</t>
        </is>
      </c>
      <c r="N112" s="14" t="inlineStr">
        <is>
          <t>Fraktion DIE LINKE</t>
        </is>
      </c>
      <c r="O112" s="16" t="inlineStr">
        <is>
          <t>PDF</t>
        </is>
      </c>
      <c r="P112" s="14" t="inlineStr"/>
      <c r="Q112" s="14" t="inlineStr"/>
      <c r="R112" s="14">
        <f>IF(COUNTIF(Abstimmungen!$B$5:$B$2000,D112)-COUNTIFS(Abstimmungen!$B$5:$B$2000,D112,Abstimmungen!$D$5:$D$2000,"*berweisung*")&gt;0,1,0)</f>
        <v/>
      </c>
    </row>
    <row r="113">
      <c r="A113" s="13" t="n">
        <v>45820</v>
      </c>
      <c r="B113" s="14">
        <f>IF(A113="","",YEAR(A113))</f>
        <v/>
      </c>
      <c r="C113" s="14">
        <f>IF(A113="","",YEAR(A113)&amp;"-Q"&amp;ROUNDUP(MONTH(A113)/3,0))</f>
        <v/>
      </c>
      <c r="D113" s="14" t="inlineStr">
        <is>
          <t>21/494</t>
        </is>
      </c>
      <c r="E113" s="14" t="inlineStr">
        <is>
          <t>Antwort</t>
        </is>
      </c>
      <c r="F113" s="14" t="inlineStr">
        <is>
          <t>Bundesregierung</t>
        </is>
      </c>
      <c r="G113" s="14" t="inlineStr">
        <is>
          <t>Regierung</t>
        </is>
      </c>
      <c r="H113" s="14" t="inlineStr">
        <is>
          <t>21</t>
        </is>
      </c>
      <c r="I113" s="14" t="inlineStr">
        <is>
          <t>Infrastruktur/Netz</t>
        </is>
      </c>
      <c r="J113" s="14" t="inlineStr">
        <is>
          <t>21/258</t>
        </is>
      </c>
      <c r="K113" s="15">
        <f>IF(OR(J113="",LEFT(E113,7)&lt;&gt;"Antwort"),"",IFERROR(A113-INDEX($A$2:$A$293,MATCH(J113,$D$2:$D$293,0)),""))</f>
        <v/>
      </c>
      <c r="L113" s="14">
        <f>IF(E113&lt;&gt;"Kleine Anfrage","",IFERROR(INDEX($D$2:$D$293,MATCH(D113,$J$2:$J$293,0)),"offen"))</f>
        <v/>
      </c>
      <c r="M113" s="14" t="inlineStr">
        <is>
          <t>Netzzustandsnoten der Schieneninfrastruktur von 2021 bis 2024</t>
        </is>
      </c>
      <c r="N113" s="14" t="inlineStr">
        <is>
          <t>Bundesregierung</t>
        </is>
      </c>
      <c r="O113" s="16" t="inlineStr">
        <is>
          <t>PDF</t>
        </is>
      </c>
      <c r="P113" s="14" t="inlineStr">
        <is>
          <t>Gruene</t>
        </is>
      </c>
      <c r="Q113" s="14" t="inlineStr"/>
      <c r="R113" s="14">
        <f>IF(COUNTIF(Abstimmungen!$B$5:$B$2000,D113)-COUNTIFS(Abstimmungen!$B$5:$B$2000,D113,Abstimmungen!$D$5:$D$2000,"*berweisung*")&gt;0,1,0)</f>
        <v/>
      </c>
    </row>
    <row r="114">
      <c r="A114" s="13" t="n">
        <v>45811</v>
      </c>
      <c r="B114" s="14">
        <f>IF(A114="","",YEAR(A114))</f>
        <v/>
      </c>
      <c r="C114" s="14">
        <f>IF(A114="","",YEAR(A114)&amp;"-Q"&amp;ROUNDUP(MONTH(A114)/3,0))</f>
        <v/>
      </c>
      <c r="D114" s="14" t="inlineStr">
        <is>
          <t>21/335</t>
        </is>
      </c>
      <c r="E114" s="14" t="inlineStr">
        <is>
          <t>Gesetzentwurf</t>
        </is>
      </c>
      <c r="F114" s="14" t="inlineStr">
        <is>
          <t>Gruene</t>
        </is>
      </c>
      <c r="G114" s="14" t="inlineStr">
        <is>
          <t>Opposition</t>
        </is>
      </c>
      <c r="H114" s="14" t="inlineStr">
        <is>
          <t>21</t>
        </is>
      </c>
      <c r="I114" s="14" t="inlineStr">
        <is>
          <t>Sonstiges</t>
        </is>
      </c>
      <c r="J114" s="14" t="inlineStr"/>
      <c r="K114" s="15">
        <f>IF(OR(J114="",LEFT(E114,7)&lt;&gt;"Antwort"),"",IFERROR(A114-INDEX($A$2:$A$293,MATCH(J114,$D$2:$D$293,0)),""))</f>
        <v/>
      </c>
      <c r="L114" s="14">
        <f>IF(E114&lt;&gt;"Kleine Anfrage","",IFERROR(INDEX($D$2:$D$293,MATCH(D114,$J$2:$J$293,0)),"offen"))</f>
        <v/>
      </c>
      <c r="M114" s="14" t="inlineStr">
        <is>
          <t>Entwurf eines Gesetzes zur Änderung des Allgemeinen Eisenbahngesetzes und weiterer Gesetze zur Spezifizierung der Flächenbedarfe der Eisenbahn</t>
        </is>
      </c>
      <c r="N114" s="14" t="inlineStr">
        <is>
          <t>Fraktion BÜNDNIS 90/DIE GRÜNEN</t>
        </is>
      </c>
      <c r="O114" s="16" t="inlineStr">
        <is>
          <t>PDF</t>
        </is>
      </c>
      <c r="P114" s="14" t="inlineStr"/>
      <c r="Q114" s="14" t="inlineStr"/>
      <c r="R114" s="14">
        <f>IF(COUNTIF(Abstimmungen!$B$5:$B$2000,D114)-COUNTIFS(Abstimmungen!$B$5:$B$2000,D114,Abstimmungen!$D$5:$D$2000,"*berweisung*")&gt;0,1,0)</f>
        <v/>
      </c>
    </row>
    <row r="115">
      <c r="A115" s="13" t="n">
        <v>45800</v>
      </c>
      <c r="B115" s="14">
        <f>IF(A115="","",YEAR(A115))</f>
        <v/>
      </c>
      <c r="C115" s="14">
        <f>IF(A115="","",YEAR(A115)&amp;"-Q"&amp;ROUNDUP(MONTH(A115)/3,0))</f>
        <v/>
      </c>
      <c r="D115" s="14" t="inlineStr">
        <is>
          <t>21/258</t>
        </is>
      </c>
      <c r="E115" s="14" t="inlineStr">
        <is>
          <t>Kleine Anfrage</t>
        </is>
      </c>
      <c r="F115" s="14" t="inlineStr">
        <is>
          <t>Gruene</t>
        </is>
      </c>
      <c r="G115" s="14" t="inlineStr">
        <is>
          <t>Opposition</t>
        </is>
      </c>
      <c r="H115" s="14" t="inlineStr">
        <is>
          <t>21</t>
        </is>
      </c>
      <c r="I115" s="14" t="inlineStr">
        <is>
          <t>Infrastruktur/Netz</t>
        </is>
      </c>
      <c r="J115" s="14" t="inlineStr"/>
      <c r="K115" s="15">
        <f>IF(OR(J115="",LEFT(E115,7)&lt;&gt;"Antwort"),"",IFERROR(A115-INDEX($A$2:$A$293,MATCH(J115,$D$2:$D$293,0)),""))</f>
        <v/>
      </c>
      <c r="L115" s="14">
        <f>IF(E115&lt;&gt;"Kleine Anfrage","",IFERROR(INDEX($D$2:$D$293,MATCH(D115,$J$2:$J$293,0)),"offen"))</f>
        <v/>
      </c>
      <c r="M115" s="14" t="inlineStr">
        <is>
          <t>Netzzustandsnoten der Schieneninfrastruktur 2021 bis 2024</t>
        </is>
      </c>
      <c r="N115" s="14" t="inlineStr">
        <is>
          <t>Fraktion BÜNDNIS 90/DIE GRÜNEN</t>
        </is>
      </c>
      <c r="O115" s="16" t="inlineStr">
        <is>
          <t>PDF</t>
        </is>
      </c>
      <c r="P115" s="14" t="inlineStr"/>
      <c r="Q115" s="14" t="inlineStr"/>
      <c r="R115" s="14">
        <f>IF(COUNTIF(Abstimmungen!$B$5:$B$2000,D115)-COUNTIFS(Abstimmungen!$B$5:$B$2000,D115,Abstimmungen!$D$5:$D$2000,"*berweisung*")&gt;0,1,0)</f>
        <v/>
      </c>
    </row>
    <row r="116">
      <c r="A116" s="13" t="n">
        <v>45776</v>
      </c>
      <c r="B116" s="14">
        <f>IF(A116="","",YEAR(A116))</f>
        <v/>
      </c>
      <c r="C116" s="14">
        <f>IF(A116="","",YEAR(A116)&amp;"-Q"&amp;ROUNDUP(MONTH(A116)/3,0))</f>
        <v/>
      </c>
      <c r="D116" s="14" t="inlineStr">
        <is>
          <t>21/91</t>
        </is>
      </c>
      <c r="E116" s="14" t="inlineStr">
        <is>
          <t>Antwort</t>
        </is>
      </c>
      <c r="F116" s="14" t="inlineStr">
        <is>
          <t>Bundesregierung</t>
        </is>
      </c>
      <c r="G116" s="14" t="inlineStr">
        <is>
          <t>Regierung</t>
        </is>
      </c>
      <c r="H116" s="14" t="inlineStr">
        <is>
          <t>21</t>
        </is>
      </c>
      <c r="I116" s="14" t="inlineStr">
        <is>
          <t>Bahnhoefe; Kriminalitaet</t>
        </is>
      </c>
      <c r="J116" s="14" t="inlineStr">
        <is>
          <t>21/58</t>
        </is>
      </c>
      <c r="K116" s="15">
        <f>IF(OR(J116="",LEFT(E116,7)&lt;&gt;"Antwort"),"",IFERROR(A116-INDEX($A$2:$A$293,MATCH(J116,$D$2:$D$293,0)),""))</f>
        <v/>
      </c>
      <c r="L116" s="14">
        <f>IF(E116&lt;&gt;"Kleine Anfrage","",IFERROR(INDEX($D$2:$D$293,MATCH(D116,$J$2:$J$293,0)),"offen"))</f>
        <v/>
      </c>
      <c r="M116" s="14" t="inlineStr">
        <is>
          <t>Kriminalitätsentwicklung am Bahnhof Ludwigsburg von 2019 bis 2024</t>
        </is>
      </c>
      <c r="N116" s="14" t="inlineStr">
        <is>
          <t>Bundesregierung</t>
        </is>
      </c>
      <c r="O116" s="16" t="inlineStr">
        <is>
          <t>PDF</t>
        </is>
      </c>
      <c r="P116" s="14" t="inlineStr">
        <is>
          <t>AfD</t>
        </is>
      </c>
      <c r="Q116" s="14" t="inlineStr"/>
      <c r="R116" s="14">
        <f>IF(COUNTIF(Abstimmungen!$B$5:$B$2000,D116)-COUNTIFS(Abstimmungen!$B$5:$B$2000,D116,Abstimmungen!$D$5:$D$2000,"*berweisung*")&gt;0,1,0)</f>
        <v/>
      </c>
    </row>
    <row r="117">
      <c r="A117" s="13" t="n">
        <v>45769</v>
      </c>
      <c r="B117" s="14">
        <f>IF(A117="","",YEAR(A117))</f>
        <v/>
      </c>
      <c r="C117" s="14">
        <f>IF(A117="","",YEAR(A117)&amp;"-Q"&amp;ROUNDUP(MONTH(A117)/3,0))</f>
        <v/>
      </c>
      <c r="D117" s="14" t="inlineStr">
        <is>
          <t>21/58</t>
        </is>
      </c>
      <c r="E117" s="14" t="inlineStr">
        <is>
          <t>Kleine Anfrage</t>
        </is>
      </c>
      <c r="F117" s="14" t="inlineStr">
        <is>
          <t>AfD</t>
        </is>
      </c>
      <c r="G117" s="14" t="inlineStr">
        <is>
          <t>Opposition</t>
        </is>
      </c>
      <c r="H117" s="14" t="inlineStr">
        <is>
          <t>21</t>
        </is>
      </c>
      <c r="I117" s="14" t="inlineStr">
        <is>
          <t>Bahnhoefe; Kriminalitaet</t>
        </is>
      </c>
      <c r="J117" s="14" t="inlineStr"/>
      <c r="K117" s="15">
        <f>IF(OR(J117="",LEFT(E117,7)&lt;&gt;"Antwort"),"",IFERROR(A117-INDEX($A$2:$A$293,MATCH(J117,$D$2:$D$293,0)),""))</f>
        <v/>
      </c>
      <c r="L117" s="14">
        <f>IF(E117&lt;&gt;"Kleine Anfrage","",IFERROR(INDEX($D$2:$D$293,MATCH(D117,$J$2:$J$293,0)),"offen"))</f>
        <v/>
      </c>
      <c r="M117" s="14" t="inlineStr">
        <is>
          <t>Kriminalitätsentwicklung am Bahnhof Ludwigsburg von 2019 bis 2024</t>
        </is>
      </c>
      <c r="N117" s="14" t="inlineStr">
        <is>
          <t>Fraktion der AfD</t>
        </is>
      </c>
      <c r="O117" s="16" t="inlineStr">
        <is>
          <t>PDF</t>
        </is>
      </c>
      <c r="P117" s="14" t="inlineStr"/>
      <c r="Q117" s="14" t="inlineStr"/>
      <c r="R117" s="14">
        <f>IF(COUNTIF(Abstimmungen!$B$5:$B$2000,D117)-COUNTIFS(Abstimmungen!$B$5:$B$2000,D117,Abstimmungen!$D$5:$D$2000,"*berweisung*")&gt;0,1,0)</f>
        <v/>
      </c>
    </row>
    <row r="118">
      <c r="A118" s="13" t="n">
        <v>45719</v>
      </c>
      <c r="B118" s="14">
        <f>IF(A118="","",YEAR(A118))</f>
        <v/>
      </c>
      <c r="C118" s="14">
        <f>IF(A118="","",YEAR(A118)&amp;"-Q"&amp;ROUNDUP(MONTH(A118)/3,0))</f>
        <v/>
      </c>
      <c r="D118" s="14" t="inlineStr">
        <is>
          <t>20/15082</t>
        </is>
      </c>
      <c r="E118" s="14" t="inlineStr">
        <is>
          <t>Antwort</t>
        </is>
      </c>
      <c r="F118" s="14" t="inlineStr">
        <is>
          <t>Bundesregierung</t>
        </is>
      </c>
      <c r="G118" s="14" t="inlineStr">
        <is>
          <t>Regierung</t>
        </is>
      </c>
      <c r="H118" s="14" t="inlineStr">
        <is>
          <t>20</t>
        </is>
      </c>
      <c r="I118" s="14" t="inlineStr">
        <is>
          <t>Infrastruktur/Netz</t>
        </is>
      </c>
      <c r="J118" s="14" t="inlineStr">
        <is>
          <t>20/14975</t>
        </is>
      </c>
      <c r="K118" s="15">
        <f>IF(OR(J118="",LEFT(E118,7)&lt;&gt;"Antwort"),"",IFERROR(A118-INDEX($A$2:$A$293,MATCH(J118,$D$2:$D$293,0)),""))</f>
        <v/>
      </c>
      <c r="L118" s="14">
        <f>IF(E118&lt;&gt;"Kleine Anfrage","",IFERROR(INDEX($D$2:$D$293,MATCH(D118,$J$2:$J$293,0)),"offen"))</f>
        <v/>
      </c>
      <c r="M118" s="14" t="inlineStr">
        <is>
          <t>Planungen zum viergleisigen Ausbau der Bahnstrecke Daglfing-Johanneskirchen</t>
        </is>
      </c>
      <c r="N118" s="14" t="inlineStr">
        <is>
          <t>Bundesregierung</t>
        </is>
      </c>
      <c r="O118" s="16" t="inlineStr">
        <is>
          <t>PDF</t>
        </is>
      </c>
      <c r="P118" s="14" t="inlineStr">
        <is>
          <t>CDU/CSU</t>
        </is>
      </c>
      <c r="Q118" s="14" t="inlineStr"/>
      <c r="R118" s="14">
        <f>IF(COUNTIF(Abstimmungen!$B$5:$B$2000,D118)-COUNTIFS(Abstimmungen!$B$5:$B$2000,D118,Abstimmungen!$D$5:$D$2000,"*berweisung*")&gt;0,1,0)</f>
        <v/>
      </c>
    </row>
    <row r="119">
      <c r="A119" s="13" t="n">
        <v>45712</v>
      </c>
      <c r="B119" s="14">
        <f>IF(A119="","",YEAR(A119))</f>
        <v/>
      </c>
      <c r="C119" s="14">
        <f>IF(A119="","",YEAR(A119)&amp;"-Q"&amp;ROUNDUP(MONTH(A119)/3,0))</f>
        <v/>
      </c>
      <c r="D119" s="14" t="inlineStr">
        <is>
          <t>20/15055</t>
        </is>
      </c>
      <c r="E119" s="14" t="inlineStr">
        <is>
          <t>Antwort</t>
        </is>
      </c>
      <c r="F119" s="14" t="inlineStr">
        <is>
          <t>Bundesregierung</t>
        </is>
      </c>
      <c r="G119" s="14" t="inlineStr">
        <is>
          <t>Regierung</t>
        </is>
      </c>
      <c r="H119" s="14" t="inlineStr">
        <is>
          <t>20</t>
        </is>
      </c>
      <c r="I119" s="14" t="inlineStr">
        <is>
          <t>Bahnhoefe; Kriminalitaet</t>
        </is>
      </c>
      <c r="J119" s="14" t="inlineStr">
        <is>
          <t>20/14578</t>
        </is>
      </c>
      <c r="K119" s="15">
        <f>IF(OR(J119="",LEFT(E119,7)&lt;&gt;"Antwort"),"",IFERROR(A119-INDEX($A$2:$A$293,MATCH(J119,$D$2:$D$293,0)),""))</f>
        <v/>
      </c>
      <c r="L119" s="14">
        <f>IF(E119&lt;&gt;"Kleine Anfrage","",IFERROR(INDEX($D$2:$D$293,MATCH(D119,$J$2:$J$293,0)),"offen"))</f>
        <v/>
      </c>
      <c r="M119" s="14" t="inlineStr">
        <is>
          <t>Kriminalitätsfelder in Bezug auf Bahnhöfe und Züge im zweiten Halbjahr 2024 und im Gesamtjahr 2024</t>
        </is>
      </c>
      <c r="N119" s="14" t="inlineStr">
        <is>
          <t>Bundesregierung</t>
        </is>
      </c>
      <c r="O119" s="16" t="inlineStr">
        <is>
          <t>PDF</t>
        </is>
      </c>
      <c r="P119" s="14" t="inlineStr">
        <is>
          <t>AfD</t>
        </is>
      </c>
      <c r="Q119" s="14" t="inlineStr"/>
      <c r="R119" s="14">
        <f>IF(COUNTIF(Abstimmungen!$B$5:$B$2000,D119)-COUNTIFS(Abstimmungen!$B$5:$B$2000,D119,Abstimmungen!$D$5:$D$2000,"*berweisung*")&gt;0,1,0)</f>
        <v/>
      </c>
    </row>
    <row r="120">
      <c r="A120" s="13" t="n">
        <v>45705</v>
      </c>
      <c r="B120" s="14">
        <f>IF(A120="","",YEAR(A120))</f>
        <v/>
      </c>
      <c r="C120" s="14">
        <f>IF(A120="","",YEAR(A120)&amp;"-Q"&amp;ROUNDUP(MONTH(A120)/3,0))</f>
        <v/>
      </c>
      <c r="D120" s="14" t="inlineStr">
        <is>
          <t>20/14975</t>
        </is>
      </c>
      <c r="E120" s="14" t="inlineStr">
        <is>
          <t>Kleine Anfrage</t>
        </is>
      </c>
      <c r="F120" s="14" t="inlineStr">
        <is>
          <t>CDU/CSU</t>
        </is>
      </c>
      <c r="G120" s="14" t="inlineStr">
        <is>
          <t>Opposition</t>
        </is>
      </c>
      <c r="H120" s="14" t="inlineStr">
        <is>
          <t>20</t>
        </is>
      </c>
      <c r="I120" s="14" t="inlineStr">
        <is>
          <t>Infrastruktur/Netz</t>
        </is>
      </c>
      <c r="J120" s="14" t="inlineStr"/>
      <c r="K120" s="15">
        <f>IF(OR(J120="",LEFT(E120,7)&lt;&gt;"Antwort"),"",IFERROR(A120-INDEX($A$2:$A$293,MATCH(J120,$D$2:$D$293,0)),""))</f>
        <v/>
      </c>
      <c r="L120" s="14">
        <f>IF(E120&lt;&gt;"Kleine Anfrage","",IFERROR(INDEX($D$2:$D$293,MATCH(D120,$J$2:$J$293,0)),"offen"))</f>
        <v/>
      </c>
      <c r="M120" s="14" t="inlineStr">
        <is>
          <t>Planungen zum viergleisigen Ausbau der Bahnstrecke Daglfing-Johanneskirchen</t>
        </is>
      </c>
      <c r="N120" s="14" t="inlineStr">
        <is>
          <t>Fraktion der CDU/CSU</t>
        </is>
      </c>
      <c r="O120" s="16" t="inlineStr">
        <is>
          <t>PDF</t>
        </is>
      </c>
      <c r="P120" s="14" t="inlineStr"/>
      <c r="Q120" s="14" t="inlineStr"/>
      <c r="R120" s="14">
        <f>IF(COUNTIF(Abstimmungen!$B$5:$B$2000,D120)-COUNTIFS(Abstimmungen!$B$5:$B$2000,D120,Abstimmungen!$D$5:$D$2000,"*berweisung*")&gt;0,1,0)</f>
        <v/>
      </c>
    </row>
    <row r="121">
      <c r="A121" s="13" t="n">
        <v>45700</v>
      </c>
      <c r="B121" s="14">
        <f>IF(A121="","",YEAR(A121))</f>
        <v/>
      </c>
      <c r="C121" s="14">
        <f>IF(A121="","",YEAR(A121)&amp;"-Q"&amp;ROUNDUP(MONTH(A121)/3,0))</f>
        <v/>
      </c>
      <c r="D121" s="14" t="inlineStr">
        <is>
          <t>20/14959</t>
        </is>
      </c>
      <c r="E121" s="14" t="inlineStr">
        <is>
          <t>Antwort</t>
        </is>
      </c>
      <c r="F121" s="14" t="inlineStr">
        <is>
          <t>Bundesregierung</t>
        </is>
      </c>
      <c r="G121" s="14" t="inlineStr">
        <is>
          <t>Regierung</t>
        </is>
      </c>
      <c r="H121" s="14" t="inlineStr">
        <is>
          <t>20</t>
        </is>
      </c>
      <c r="I121" s="14" t="inlineStr">
        <is>
          <t>Bahnhoefe; Sicherheit</t>
        </is>
      </c>
      <c r="J121" s="14" t="inlineStr">
        <is>
          <t>20/14491</t>
        </is>
      </c>
      <c r="K121" s="15">
        <f>IF(OR(J121="",LEFT(E121,7)&lt;&gt;"Antwort"),"",IFERROR(A121-INDEX($A$2:$A$293,MATCH(J121,$D$2:$D$293,0)),""))</f>
        <v/>
      </c>
      <c r="L121" s="14">
        <f>IF(E121&lt;&gt;"Kleine Anfrage","",IFERROR(INDEX($D$2:$D$293,MATCH(D121,$J$2:$J$293,0)),"offen"))</f>
        <v/>
      </c>
      <c r="M121" s="14" t="inlineStr">
        <is>
          <t>Die Sicherheitslage an deutschen Bahnhöfen im Jahr 2024 im Vergleich zum Vorjahr</t>
        </is>
      </c>
      <c r="N121" s="14" t="inlineStr">
        <is>
          <t>Bundesregierung</t>
        </is>
      </c>
      <c r="O121" s="16" t="inlineStr">
        <is>
          <t>PDF</t>
        </is>
      </c>
      <c r="P121" s="14" t="inlineStr">
        <is>
          <t>CDU/CSU</t>
        </is>
      </c>
      <c r="Q121" s="14" t="inlineStr"/>
      <c r="R121" s="14">
        <f>IF(COUNTIF(Abstimmungen!$B$5:$B$2000,D121)-COUNTIFS(Abstimmungen!$B$5:$B$2000,D121,Abstimmungen!$D$5:$D$2000,"*berweisung*")&gt;0,1,0)</f>
        <v/>
      </c>
    </row>
    <row r="122">
      <c r="A122" s="13" t="n">
        <v>45684</v>
      </c>
      <c r="B122" s="14">
        <f>IF(A122="","",YEAR(A122))</f>
        <v/>
      </c>
      <c r="C122" s="14">
        <f>IF(A122="","",YEAR(A122)&amp;"-Q"&amp;ROUNDUP(MONTH(A122)/3,0))</f>
        <v/>
      </c>
      <c r="D122" s="14" t="inlineStr">
        <is>
          <t>20/14693</t>
        </is>
      </c>
      <c r="E122" s="14" t="inlineStr">
        <is>
          <t>Antwort</t>
        </is>
      </c>
      <c r="F122" s="14" t="inlineStr">
        <is>
          <t>Bundesregierung</t>
        </is>
      </c>
      <c r="G122" s="14" t="inlineStr">
        <is>
          <t>Regierung</t>
        </is>
      </c>
      <c r="H122" s="14" t="inlineStr">
        <is>
          <t>20</t>
        </is>
      </c>
      <c r="I122" s="14" t="inlineStr">
        <is>
          <t>Sonstiges</t>
        </is>
      </c>
      <c r="J122" s="14" t="inlineStr">
        <is>
          <t>20/14379</t>
        </is>
      </c>
      <c r="K122" s="15">
        <f>IF(OR(J122="",LEFT(E122,7)&lt;&gt;"Antwort"),"",IFERROR(A122-INDEX($A$2:$A$293,MATCH(J122,$D$2:$D$293,0)),""))</f>
        <v/>
      </c>
      <c r="L122" s="14">
        <f>IF(E122&lt;&gt;"Kleine Anfrage","",IFERROR(INDEX($D$2:$D$293,MATCH(D122,$J$2:$J$293,0)),"offen"))</f>
        <v/>
      </c>
      <c r="M122" s="14" t="inlineStr">
        <is>
          <t>Änderung der Richtlinien für eine aktive Beteiligungsführung bei Unternehmen mit Bundesbeteiligung im November 2024 mit Auswirkungen auf eine Besetzung des Aufsichtsrats der Deutschen Bahn Aktiengesellschaft mit Abgeordneten des Deutschen Bundestages</t>
        </is>
      </c>
      <c r="N122" s="14" t="inlineStr">
        <is>
          <t>Bundesregierung</t>
        </is>
      </c>
      <c r="O122" s="16" t="inlineStr">
        <is>
          <t>PDF</t>
        </is>
      </c>
      <c r="P122" s="14" t="inlineStr">
        <is>
          <t>AfD</t>
        </is>
      </c>
      <c r="Q122" s="14" t="inlineStr"/>
      <c r="R122" s="14">
        <f>IF(COUNTIF(Abstimmungen!$B$5:$B$2000,D122)-COUNTIFS(Abstimmungen!$B$5:$B$2000,D122,Abstimmungen!$D$5:$D$2000,"*berweisung*")&gt;0,1,0)</f>
        <v/>
      </c>
    </row>
    <row r="123">
      <c r="A123" s="13" t="n">
        <v>45677</v>
      </c>
      <c r="B123" s="14">
        <f>IF(A123="","",YEAR(A123))</f>
        <v/>
      </c>
      <c r="C123" s="14">
        <f>IF(A123="","",YEAR(A123)&amp;"-Q"&amp;ROUNDUP(MONTH(A123)/3,0))</f>
        <v/>
      </c>
      <c r="D123" s="14" t="inlineStr">
        <is>
          <t>20/14578</t>
        </is>
      </c>
      <c r="E123" s="14" t="inlineStr">
        <is>
          <t>Kleine Anfrage</t>
        </is>
      </c>
      <c r="F123" s="14" t="inlineStr">
        <is>
          <t>AfD</t>
        </is>
      </c>
      <c r="G123" s="14" t="inlineStr">
        <is>
          <t>Opposition</t>
        </is>
      </c>
      <c r="H123" s="14" t="inlineStr">
        <is>
          <t>20</t>
        </is>
      </c>
      <c r="I123" s="14" t="inlineStr">
        <is>
          <t>Bahnhoefe; Kriminalitaet</t>
        </is>
      </c>
      <c r="J123" s="14" t="inlineStr"/>
      <c r="K123" s="15">
        <f>IF(OR(J123="",LEFT(E123,7)&lt;&gt;"Antwort"),"",IFERROR(A123-INDEX($A$2:$A$293,MATCH(J123,$D$2:$D$293,0)),""))</f>
        <v/>
      </c>
      <c r="L123" s="14">
        <f>IF(E123&lt;&gt;"Kleine Anfrage","",IFERROR(INDEX($D$2:$D$293,MATCH(D123,$J$2:$J$293,0)),"offen"))</f>
        <v/>
      </c>
      <c r="M123" s="14" t="inlineStr">
        <is>
          <t>Kriminalitätsfelder in Bezug auf Bahnhöfe und Züge im zweiten Halbjahr 2024 und im Gesamtjahr 2024</t>
        </is>
      </c>
      <c r="N123" s="14" t="inlineStr">
        <is>
          <t>Fraktion der AfD</t>
        </is>
      </c>
      <c r="O123" s="16" t="inlineStr">
        <is>
          <t>PDF</t>
        </is>
      </c>
      <c r="P123" s="14" t="inlineStr"/>
      <c r="Q123" s="14" t="inlineStr">
        <is>
          <t>Bahnhöfe / Kriminalitätsfelder</t>
        </is>
      </c>
      <c r="R123" s="14">
        <f>IF(COUNTIF(Abstimmungen!$B$5:$B$2000,D123)-COUNTIFS(Abstimmungen!$B$5:$B$2000,D123,Abstimmungen!$D$5:$D$2000,"*berweisung*")&gt;0,1,0)</f>
        <v/>
      </c>
    </row>
    <row r="124">
      <c r="A124" s="13" t="n">
        <v>45671</v>
      </c>
      <c r="B124" s="14">
        <f>IF(A124="","",YEAR(A124))</f>
        <v/>
      </c>
      <c r="C124" s="14">
        <f>IF(A124="","",YEAR(A124)&amp;"-Q"&amp;ROUNDUP(MONTH(A124)/3,0))</f>
        <v/>
      </c>
      <c r="D124" s="14" t="inlineStr">
        <is>
          <t>20/14491</t>
        </is>
      </c>
      <c r="E124" s="14" t="inlineStr">
        <is>
          <t>Kleine Anfrage</t>
        </is>
      </c>
      <c r="F124" s="14" t="inlineStr">
        <is>
          <t>CDU/CSU</t>
        </is>
      </c>
      <c r="G124" s="14" t="inlineStr">
        <is>
          <t>Opposition</t>
        </is>
      </c>
      <c r="H124" s="14" t="inlineStr">
        <is>
          <t>20</t>
        </is>
      </c>
      <c r="I124" s="14" t="inlineStr">
        <is>
          <t>Bahnhoefe; Sicherheit</t>
        </is>
      </c>
      <c r="J124" s="14" t="inlineStr"/>
      <c r="K124" s="15">
        <f>IF(OR(J124="",LEFT(E124,7)&lt;&gt;"Antwort"),"",IFERROR(A124-INDEX($A$2:$A$293,MATCH(J124,$D$2:$D$293,0)),""))</f>
        <v/>
      </c>
      <c r="L124" s="14">
        <f>IF(E124&lt;&gt;"Kleine Anfrage","",IFERROR(INDEX($D$2:$D$293,MATCH(D124,$J$2:$J$293,0)),"offen"))</f>
        <v/>
      </c>
      <c r="M124" s="14" t="inlineStr">
        <is>
          <t>Die Sicherheitslage an deutschen Bahnhöfen im Jahre 2024 im Vergleich zum Vorjahr</t>
        </is>
      </c>
      <c r="N124" s="14" t="inlineStr">
        <is>
          <t>Fraktion der CDU/CSU</t>
        </is>
      </c>
      <c r="O124" s="16" t="inlineStr">
        <is>
          <t>PDF</t>
        </is>
      </c>
      <c r="P124" s="14" t="inlineStr"/>
      <c r="Q124" s="14" t="inlineStr"/>
      <c r="R124" s="14">
        <f>IF(COUNTIF(Abstimmungen!$B$5:$B$2000,D124)-COUNTIFS(Abstimmungen!$B$5:$B$2000,D124,Abstimmungen!$D$5:$D$2000,"*berweisung*")&gt;0,1,0)</f>
        <v/>
      </c>
    </row>
    <row r="125">
      <c r="A125" s="13" t="n">
        <v>45649</v>
      </c>
      <c r="B125" s="14">
        <f>IF(A125="","",YEAR(A125))</f>
        <v/>
      </c>
      <c r="C125" s="14">
        <f>IF(A125="","",YEAR(A125)&amp;"-Q"&amp;ROUNDUP(MONTH(A125)/3,0))</f>
        <v/>
      </c>
      <c r="D125" s="14" t="inlineStr">
        <is>
          <t>20/14408</t>
        </is>
      </c>
      <c r="E125" s="14" t="inlineStr">
        <is>
          <t>Antwort</t>
        </is>
      </c>
      <c r="F125" s="14" t="inlineStr">
        <is>
          <t>Bundesregierung</t>
        </is>
      </c>
      <c r="G125" s="14" t="inlineStr">
        <is>
          <t>Regierung</t>
        </is>
      </c>
      <c r="H125" s="14" t="inlineStr">
        <is>
          <t>20</t>
        </is>
      </c>
      <c r="I125" s="14" t="inlineStr">
        <is>
          <t>Infrastruktur/Netz</t>
        </is>
      </c>
      <c r="J125" s="14" t="inlineStr">
        <is>
          <t>20/13983</t>
        </is>
      </c>
      <c r="K125" s="15">
        <f>IF(OR(J125="",LEFT(E125,7)&lt;&gt;"Antwort"),"",IFERROR(A125-INDEX($A$2:$A$293,MATCH(J125,$D$2:$D$293,0)),""))</f>
        <v/>
      </c>
      <c r="L125" s="14">
        <f>IF(E125&lt;&gt;"Kleine Anfrage","",IFERROR(INDEX($D$2:$D$293,MATCH(D125,$J$2:$J$293,0)),"offen"))</f>
        <v/>
      </c>
      <c r="M125" s="14" t="inlineStr">
        <is>
          <t>Sanierungsprogramm "S3" der Deutschen Bahn AG</t>
        </is>
      </c>
      <c r="N125" s="14" t="inlineStr">
        <is>
          <t>Bundesregierung</t>
        </is>
      </c>
      <c r="O125" s="16" t="inlineStr">
        <is>
          <t>PDF</t>
        </is>
      </c>
      <c r="P125" s="14" t="inlineStr">
        <is>
          <t>CDU/CSU</t>
        </is>
      </c>
      <c r="Q125" s="14" t="inlineStr"/>
      <c r="R125" s="14">
        <f>IF(COUNTIF(Abstimmungen!$B$5:$B$2000,D125)-COUNTIFS(Abstimmungen!$B$5:$B$2000,D125,Abstimmungen!$D$5:$D$2000,"*berweisung*")&gt;0,1,0)</f>
        <v/>
      </c>
    </row>
    <row r="126">
      <c r="A126" s="13" t="n">
        <v>45649</v>
      </c>
      <c r="B126" s="14">
        <f>IF(A126="","",YEAR(A126))</f>
        <v/>
      </c>
      <c r="C126" s="14">
        <f>IF(A126="","",YEAR(A126)&amp;"-Q"&amp;ROUNDUP(MONTH(A126)/3,0))</f>
        <v/>
      </c>
      <c r="D126" s="14" t="inlineStr">
        <is>
          <t>20/14379</t>
        </is>
      </c>
      <c r="E126" s="14" t="inlineStr">
        <is>
          <t>Kleine Anfrage</t>
        </is>
      </c>
      <c r="F126" s="14" t="inlineStr">
        <is>
          <t>AfD</t>
        </is>
      </c>
      <c r="G126" s="14" t="inlineStr">
        <is>
          <t>Opposition</t>
        </is>
      </c>
      <c r="H126" s="14" t="inlineStr">
        <is>
          <t>20</t>
        </is>
      </c>
      <c r="I126" s="14" t="inlineStr">
        <is>
          <t>Sonstiges</t>
        </is>
      </c>
      <c r="J126" s="14" t="inlineStr"/>
      <c r="K126" s="15">
        <f>IF(OR(J126="",LEFT(E126,7)&lt;&gt;"Antwort"),"",IFERROR(A126-INDEX($A$2:$A$293,MATCH(J126,$D$2:$D$293,0)),""))</f>
        <v/>
      </c>
      <c r="L126" s="14">
        <f>IF(E126&lt;&gt;"Kleine Anfrage","",IFERROR(INDEX($D$2:$D$293,MATCH(D126,$J$2:$J$293,0)),"offen"))</f>
        <v/>
      </c>
      <c r="M126" s="14" t="inlineStr">
        <is>
          <t>Änderung der Richtlinien für eine aktive Beteiligungsführung bei Unternehmen mit Bundesbeteiligung im November 2024 mit Auswirkungen auf eine Besetzung des Aufsichtsrats der Deutschen Bahn Aktiengesellschaft mit Abgeordneten des Deutschen Bundestags</t>
        </is>
      </c>
      <c r="N126" s="14" t="inlineStr">
        <is>
          <t>Fraktion der AfD</t>
        </is>
      </c>
      <c r="O126" s="16" t="inlineStr">
        <is>
          <t>PDF</t>
        </is>
      </c>
      <c r="P126" s="14" t="inlineStr"/>
      <c r="Q126" s="14" t="inlineStr"/>
      <c r="R126" s="14">
        <f>IF(COUNTIF(Abstimmungen!$B$5:$B$2000,D126)-COUNTIFS(Abstimmungen!$B$5:$B$2000,D126,Abstimmungen!$D$5:$D$2000,"*berweisung*")&gt;0,1,0)</f>
        <v/>
      </c>
    </row>
    <row r="127">
      <c r="A127" s="13" t="n">
        <v>45625</v>
      </c>
      <c r="B127" s="14">
        <f>IF(A127="","",YEAR(A127))</f>
        <v/>
      </c>
      <c r="C127" s="14">
        <f>IF(A127="","",YEAR(A127)&amp;"-Q"&amp;ROUNDUP(MONTH(A127)/3,0))</f>
        <v/>
      </c>
      <c r="D127" s="14" t="inlineStr">
        <is>
          <t>20/13983</t>
        </is>
      </c>
      <c r="E127" s="14" t="inlineStr">
        <is>
          <t>Kleine Anfrage</t>
        </is>
      </c>
      <c r="F127" s="14" t="inlineStr">
        <is>
          <t>CDU/CSU</t>
        </is>
      </c>
      <c r="G127" s="14" t="inlineStr">
        <is>
          <t>Opposition</t>
        </is>
      </c>
      <c r="H127" s="14" t="inlineStr">
        <is>
          <t>20</t>
        </is>
      </c>
      <c r="I127" s="14" t="inlineStr">
        <is>
          <t>Infrastruktur/Netz</t>
        </is>
      </c>
      <c r="J127" s="14" t="inlineStr"/>
      <c r="K127" s="15">
        <f>IF(OR(J127="",LEFT(E127,7)&lt;&gt;"Antwort"),"",IFERROR(A127-INDEX($A$2:$A$293,MATCH(J127,$D$2:$D$293,0)),""))</f>
        <v/>
      </c>
      <c r="L127" s="14">
        <f>IF(E127&lt;&gt;"Kleine Anfrage","",IFERROR(INDEX($D$2:$D$293,MATCH(D127,$J$2:$J$293,0)),"offen"))</f>
        <v/>
      </c>
      <c r="M127" s="14" t="inlineStr">
        <is>
          <t>Sanierungsprogramm "S3" der Deutschen Bahn AG</t>
        </is>
      </c>
      <c r="N127" s="14" t="inlineStr">
        <is>
          <t>Fraktion der CDU/CSU</t>
        </is>
      </c>
      <c r="O127" s="16" t="inlineStr">
        <is>
          <t>PDF</t>
        </is>
      </c>
      <c r="P127" s="14" t="inlineStr"/>
      <c r="Q127" s="14" t="inlineStr"/>
      <c r="R127" s="14">
        <f>IF(COUNTIF(Abstimmungen!$B$5:$B$2000,D127)-COUNTIFS(Abstimmungen!$B$5:$B$2000,D127,Abstimmungen!$D$5:$D$2000,"*berweisung*")&gt;0,1,0)</f>
        <v/>
      </c>
    </row>
    <row r="128">
      <c r="A128" s="13" t="n">
        <v>45595</v>
      </c>
      <c r="B128" s="14">
        <f>IF(A128="","",YEAR(A128))</f>
        <v/>
      </c>
      <c r="C128" s="14">
        <f>IF(A128="","",YEAR(A128)&amp;"-Q"&amp;ROUNDUP(MONTH(A128)/3,0))</f>
        <v/>
      </c>
      <c r="D128" s="14" t="inlineStr">
        <is>
          <t>20/13561</t>
        </is>
      </c>
      <c r="E128" s="14" t="inlineStr">
        <is>
          <t>Antwort</t>
        </is>
      </c>
      <c r="F128" s="14" t="inlineStr">
        <is>
          <t>Bundesregierung</t>
        </is>
      </c>
      <c r="G128" s="14" t="inlineStr">
        <is>
          <t>Regierung</t>
        </is>
      </c>
      <c r="H128" s="14" t="inlineStr">
        <is>
          <t>20</t>
        </is>
      </c>
      <c r="I128" s="14" t="inlineStr">
        <is>
          <t>Bahnhoefe; Kriminalitaet</t>
        </is>
      </c>
      <c r="J128" s="14" t="inlineStr">
        <is>
          <t>20/13451</t>
        </is>
      </c>
      <c r="K128" s="15">
        <f>IF(OR(J128="",LEFT(E128,7)&lt;&gt;"Antwort"),"",IFERROR(A128-INDEX($A$2:$A$293,MATCH(J128,$D$2:$D$293,0)),""))</f>
        <v/>
      </c>
      <c r="L128" s="14">
        <f>IF(E128&lt;&gt;"Kleine Anfrage","",IFERROR(INDEX($D$2:$D$293,MATCH(D128,$J$2:$J$293,0)),"offen"))</f>
        <v/>
      </c>
      <c r="M128" s="14" t="inlineStr">
        <is>
          <t>Nachfragen zur Kriminalitätsentwicklung an ausgewählten Bahnhöfen</t>
        </is>
      </c>
      <c r="N128" s="14" t="inlineStr">
        <is>
          <t>Bundesregierung</t>
        </is>
      </c>
      <c r="O128" s="16" t="inlineStr">
        <is>
          <t>PDF</t>
        </is>
      </c>
      <c r="P128" s="14" t="inlineStr">
        <is>
          <t>AfD</t>
        </is>
      </c>
      <c r="Q128" s="14" t="inlineStr"/>
      <c r="R128" s="14">
        <f>IF(COUNTIF(Abstimmungen!$B$5:$B$2000,D128)-COUNTIFS(Abstimmungen!$B$5:$B$2000,D128,Abstimmungen!$D$5:$D$2000,"*berweisung*")&gt;0,1,0)</f>
        <v/>
      </c>
    </row>
    <row r="129">
      <c r="A129" s="13" t="n">
        <v>45583</v>
      </c>
      <c r="B129" s="14">
        <f>IF(A129="","",YEAR(A129))</f>
        <v/>
      </c>
      <c r="C129" s="14">
        <f>IF(A129="","",YEAR(A129)&amp;"-Q"&amp;ROUNDUP(MONTH(A129)/3,0))</f>
        <v/>
      </c>
      <c r="D129" s="14" t="inlineStr">
        <is>
          <t>20/13462</t>
        </is>
      </c>
      <c r="E129" s="14" t="inlineStr">
        <is>
          <t>Antwort</t>
        </is>
      </c>
      <c r="F129" s="14" t="inlineStr">
        <is>
          <t>Bundesregierung</t>
        </is>
      </c>
      <c r="G129" s="14" t="inlineStr">
        <is>
          <t>Regierung</t>
        </is>
      </c>
      <c r="H129" s="14" t="inlineStr">
        <is>
          <t>20</t>
        </is>
      </c>
      <c r="I129" s="14" t="inlineStr">
        <is>
          <t>Bahnhoefe; Kriminalitaet</t>
        </is>
      </c>
      <c r="J129" s="14" t="inlineStr">
        <is>
          <t>20/12954</t>
        </is>
      </c>
      <c r="K129" s="15">
        <f>IF(OR(J129="",LEFT(E129,7)&lt;&gt;"Antwort"),"",IFERROR(A129-INDEX($A$2:$A$293,MATCH(J129,$D$2:$D$293,0)),""))</f>
        <v/>
      </c>
      <c r="L129" s="14">
        <f>IF(E129&lt;&gt;"Kleine Anfrage","",IFERROR(INDEX($D$2:$D$293,MATCH(D129,$J$2:$J$293,0)),"offen"))</f>
        <v/>
      </c>
      <c r="M129" s="14" t="inlineStr">
        <is>
          <t>Kriminalitätsfelder in Bezug auf Bahnhöfe und Züge im Saarland im ersten Halbjahr 2024</t>
        </is>
      </c>
      <c r="N129" s="14" t="inlineStr">
        <is>
          <t>Bundesregierung</t>
        </is>
      </c>
      <c r="O129" s="16" t="inlineStr">
        <is>
          <t>PDF</t>
        </is>
      </c>
      <c r="P129" s="14" t="inlineStr">
        <is>
          <t>AfD</t>
        </is>
      </c>
      <c r="Q129" s="14" t="inlineStr"/>
      <c r="R129" s="14">
        <f>IF(COUNTIF(Abstimmungen!$B$5:$B$2000,D129)-COUNTIFS(Abstimmungen!$B$5:$B$2000,D129,Abstimmungen!$D$5:$D$2000,"*berweisung*")&gt;0,1,0)</f>
        <v/>
      </c>
    </row>
    <row r="130">
      <c r="A130" s="13" t="n">
        <v>45583</v>
      </c>
      <c r="B130" s="14">
        <f>IF(A130="","",YEAR(A130))</f>
        <v/>
      </c>
      <c r="C130" s="14">
        <f>IF(A130="","",YEAR(A130)&amp;"-Q"&amp;ROUNDUP(MONTH(A130)/3,0))</f>
        <v/>
      </c>
      <c r="D130" s="14" t="inlineStr">
        <is>
          <t>20/13461</t>
        </is>
      </c>
      <c r="E130" s="14" t="inlineStr">
        <is>
          <t>Antwort</t>
        </is>
      </c>
      <c r="F130" s="14" t="inlineStr">
        <is>
          <t>Bundesregierung</t>
        </is>
      </c>
      <c r="G130" s="14" t="inlineStr">
        <is>
          <t>Regierung</t>
        </is>
      </c>
      <c r="H130" s="14" t="inlineStr">
        <is>
          <t>20</t>
        </is>
      </c>
      <c r="I130" s="14" t="inlineStr">
        <is>
          <t>Bahnhoefe; Kriminalitaet</t>
        </is>
      </c>
      <c r="J130" s="14" t="inlineStr">
        <is>
          <t>20/12953</t>
        </is>
      </c>
      <c r="K130" s="15">
        <f>IF(OR(J130="",LEFT(E130,7)&lt;&gt;"Antwort"),"",IFERROR(A130-INDEX($A$2:$A$293,MATCH(J130,$D$2:$D$293,0)),""))</f>
        <v/>
      </c>
      <c r="L130" s="14">
        <f>IF(E130&lt;&gt;"Kleine Anfrage","",IFERROR(INDEX($D$2:$D$293,MATCH(D130,$J$2:$J$293,0)),"offen"))</f>
        <v/>
      </c>
      <c r="M130" s="14" t="inlineStr">
        <is>
          <t>Kriminalitätsfelder in Bezug auf Bahnhöfe und Züge in Baden-Württemberg im ersten Halbjahr 2024</t>
        </is>
      </c>
      <c r="N130" s="14" t="inlineStr">
        <is>
          <t>Bundesregierung</t>
        </is>
      </c>
      <c r="O130" s="16" t="inlineStr">
        <is>
          <t>PDF</t>
        </is>
      </c>
      <c r="P130" s="14" t="inlineStr">
        <is>
          <t>AfD</t>
        </is>
      </c>
      <c r="Q130" s="14" t="inlineStr"/>
      <c r="R130" s="14">
        <f>IF(COUNTIF(Abstimmungen!$B$5:$B$2000,D130)-COUNTIFS(Abstimmungen!$B$5:$B$2000,D130,Abstimmungen!$D$5:$D$2000,"*berweisung*")&gt;0,1,0)</f>
        <v/>
      </c>
    </row>
    <row r="131">
      <c r="A131" s="13" t="n">
        <v>45583</v>
      </c>
      <c r="B131" s="14">
        <f>IF(A131="","",YEAR(A131))</f>
        <v/>
      </c>
      <c r="C131" s="14">
        <f>IF(A131="","",YEAR(A131)&amp;"-Q"&amp;ROUNDUP(MONTH(A131)/3,0))</f>
        <v/>
      </c>
      <c r="D131" s="14" t="inlineStr">
        <is>
          <t>20/13451</t>
        </is>
      </c>
      <c r="E131" s="14" t="inlineStr">
        <is>
          <t>Kleine Anfrage</t>
        </is>
      </c>
      <c r="F131" s="14" t="inlineStr">
        <is>
          <t>AfD</t>
        </is>
      </c>
      <c r="G131" s="14" t="inlineStr">
        <is>
          <t>Opposition</t>
        </is>
      </c>
      <c r="H131" s="14" t="inlineStr">
        <is>
          <t>20</t>
        </is>
      </c>
      <c r="I131" s="14" t="inlineStr">
        <is>
          <t>Bahnhoefe; Kriminalitaet</t>
        </is>
      </c>
      <c r="J131" s="14" t="inlineStr"/>
      <c r="K131" s="15">
        <f>IF(OR(J131="",LEFT(E131,7)&lt;&gt;"Antwort"),"",IFERROR(A131-INDEX($A$2:$A$293,MATCH(J131,$D$2:$D$293,0)),""))</f>
        <v/>
      </c>
      <c r="L131" s="14">
        <f>IF(E131&lt;&gt;"Kleine Anfrage","",IFERROR(INDEX($D$2:$D$293,MATCH(D131,$J$2:$J$293,0)),"offen"))</f>
        <v/>
      </c>
      <c r="M131" s="14" t="inlineStr">
        <is>
          <t>Nachfragen zur Kriminalitätsentwicklung an ausgewählten Bahnhöfen</t>
        </is>
      </c>
      <c r="N131" s="14" t="inlineStr">
        <is>
          <t>Fraktion der AfD</t>
        </is>
      </c>
      <c r="O131" s="16" t="inlineStr">
        <is>
          <t>PDF</t>
        </is>
      </c>
      <c r="P131" s="14" t="inlineStr"/>
      <c r="Q131" s="14" t="inlineStr"/>
      <c r="R131" s="14">
        <f>IF(COUNTIF(Abstimmungen!$B$5:$B$2000,D131)-COUNTIFS(Abstimmungen!$B$5:$B$2000,D131,Abstimmungen!$D$5:$D$2000,"*berweisung*")&gt;0,1,0)</f>
        <v/>
      </c>
    </row>
    <row r="132">
      <c r="A132" s="13" t="n">
        <v>45559</v>
      </c>
      <c r="B132" s="14">
        <f>IF(A132="","",YEAR(A132))</f>
        <v/>
      </c>
      <c r="C132" s="14">
        <f>IF(A132="","",YEAR(A132)&amp;"-Q"&amp;ROUNDUP(MONTH(A132)/3,0))</f>
        <v/>
      </c>
      <c r="D132" s="14" t="inlineStr">
        <is>
          <t>20/12954</t>
        </is>
      </c>
      <c r="E132" s="14" t="inlineStr">
        <is>
          <t>Kleine Anfrage</t>
        </is>
      </c>
      <c r="F132" s="14" t="inlineStr">
        <is>
          <t>AfD</t>
        </is>
      </c>
      <c r="G132" s="14" t="inlineStr">
        <is>
          <t>Opposition</t>
        </is>
      </c>
      <c r="H132" s="14" t="inlineStr">
        <is>
          <t>20</t>
        </is>
      </c>
      <c r="I132" s="14" t="inlineStr">
        <is>
          <t>Bahnhoefe; Kriminalitaet</t>
        </is>
      </c>
      <c r="J132" s="14" t="inlineStr"/>
      <c r="K132" s="15">
        <f>IF(OR(J132="",LEFT(E132,7)&lt;&gt;"Antwort"),"",IFERROR(A132-INDEX($A$2:$A$293,MATCH(J132,$D$2:$D$293,0)),""))</f>
        <v/>
      </c>
      <c r="L132" s="14">
        <f>IF(E132&lt;&gt;"Kleine Anfrage","",IFERROR(INDEX($D$2:$D$293,MATCH(D132,$J$2:$J$293,0)),"offen"))</f>
        <v/>
      </c>
      <c r="M132" s="14" t="inlineStr">
        <is>
          <t>Kriminalitätsfelder in Bezug auf Bahnhöfe und Züge im Saarland im ersten Halbjahr 2024</t>
        </is>
      </c>
      <c r="N132" s="14" t="inlineStr">
        <is>
          <t>Fraktion der AfD</t>
        </is>
      </c>
      <c r="O132" s="16" t="inlineStr">
        <is>
          <t>PDF</t>
        </is>
      </c>
      <c r="P132" s="14" t="inlineStr"/>
      <c r="Q132" s="14" t="inlineStr">
        <is>
          <t>Bahnhöfe / Kriminalitätsfelder</t>
        </is>
      </c>
      <c r="R132" s="14">
        <f>IF(COUNTIF(Abstimmungen!$B$5:$B$2000,D132)-COUNTIFS(Abstimmungen!$B$5:$B$2000,D132,Abstimmungen!$D$5:$D$2000,"*berweisung*")&gt;0,1,0)</f>
        <v/>
      </c>
    </row>
    <row r="133">
      <c r="A133" s="13" t="n">
        <v>45559</v>
      </c>
      <c r="B133" s="14">
        <f>IF(A133="","",YEAR(A133))</f>
        <v/>
      </c>
      <c r="C133" s="14">
        <f>IF(A133="","",YEAR(A133)&amp;"-Q"&amp;ROUNDUP(MONTH(A133)/3,0))</f>
        <v/>
      </c>
      <c r="D133" s="14" t="inlineStr">
        <is>
          <t>20/12953</t>
        </is>
      </c>
      <c r="E133" s="14" t="inlineStr">
        <is>
          <t>Kleine Anfrage</t>
        </is>
      </c>
      <c r="F133" s="14" t="inlineStr">
        <is>
          <t>AfD</t>
        </is>
      </c>
      <c r="G133" s="14" t="inlineStr">
        <is>
          <t>Opposition</t>
        </is>
      </c>
      <c r="H133" s="14" t="inlineStr">
        <is>
          <t>20</t>
        </is>
      </c>
      <c r="I133" s="14" t="inlineStr">
        <is>
          <t>Bahnhoefe; Kriminalitaet</t>
        </is>
      </c>
      <c r="J133" s="14" t="inlineStr"/>
      <c r="K133" s="15">
        <f>IF(OR(J133="",LEFT(E133,7)&lt;&gt;"Antwort"),"",IFERROR(A133-INDEX($A$2:$A$293,MATCH(J133,$D$2:$D$293,0)),""))</f>
        <v/>
      </c>
      <c r="L133" s="14">
        <f>IF(E133&lt;&gt;"Kleine Anfrage","",IFERROR(INDEX($D$2:$D$293,MATCH(D133,$J$2:$J$293,0)),"offen"))</f>
        <v/>
      </c>
      <c r="M133" s="14" t="inlineStr">
        <is>
          <t>Kriminalitätsfelder in Bezug auf Bahnhöfe und Züge in Baden-Württemberg im ersten Halbjahr 2024</t>
        </is>
      </c>
      <c r="N133" s="14" t="inlineStr">
        <is>
          <t>Fraktion der AfD</t>
        </is>
      </c>
      <c r="O133" s="16" t="inlineStr">
        <is>
          <t>PDF</t>
        </is>
      </c>
      <c r="P133" s="14" t="inlineStr"/>
      <c r="Q133" s="14" t="inlineStr">
        <is>
          <t>Bahnhöfe / Kriminalitätsfelder</t>
        </is>
      </c>
      <c r="R133" s="14">
        <f>IF(COUNTIF(Abstimmungen!$B$5:$B$2000,D133)-COUNTIFS(Abstimmungen!$B$5:$B$2000,D133,Abstimmungen!$D$5:$D$2000,"*berweisung*")&gt;0,1,0)</f>
        <v/>
      </c>
    </row>
    <row r="134">
      <c r="A134" s="13" t="n">
        <v>45547</v>
      </c>
      <c r="B134" s="14">
        <f>IF(A134="","",YEAR(A134))</f>
        <v/>
      </c>
      <c r="C134" s="14">
        <f>IF(A134="","",YEAR(A134)&amp;"-Q"&amp;ROUNDUP(MONTH(A134)/3,0))</f>
        <v/>
      </c>
      <c r="D134" s="14" t="inlineStr">
        <is>
          <t>20/12990</t>
        </is>
      </c>
      <c r="E134" s="14" t="inlineStr">
        <is>
          <t>Antwort</t>
        </is>
      </c>
      <c r="F134" s="14" t="inlineStr">
        <is>
          <t>Bundesregierung</t>
        </is>
      </c>
      <c r="G134" s="14" t="inlineStr">
        <is>
          <t>Regierung</t>
        </is>
      </c>
      <c r="H134" s="14" t="inlineStr">
        <is>
          <t>20</t>
        </is>
      </c>
      <c r="I134" s="14" t="inlineStr">
        <is>
          <t>Personal</t>
        </is>
      </c>
      <c r="J134" s="14" t="inlineStr">
        <is>
          <t>20/12522</t>
        </is>
      </c>
      <c r="K134" s="15">
        <f>IF(OR(J134="",LEFT(E134,7)&lt;&gt;"Antwort"),"",IFERROR(A134-INDEX($A$2:$A$293,MATCH(J134,$D$2:$D$293,0)),""))</f>
        <v/>
      </c>
      <c r="L134" s="14">
        <f>IF(E134&lt;&gt;"Kleine Anfrage","",IFERROR(INDEX($D$2:$D$293,MATCH(D134,$J$2:$J$293,0)),"offen"))</f>
        <v/>
      </c>
      <c r="M134" s="14" t="inlineStr">
        <is>
          <t>Personalbedarf bei Unternehmen der Deutschen Bahn AG</t>
        </is>
      </c>
      <c r="N134" s="14" t="inlineStr">
        <is>
          <t>Bundesregierung</t>
        </is>
      </c>
      <c r="O134" s="16" t="inlineStr">
        <is>
          <t>PDF</t>
        </is>
      </c>
      <c r="P134" s="14" t="inlineStr">
        <is>
          <t>AfD</t>
        </is>
      </c>
      <c r="Q134" s="14" t="inlineStr"/>
      <c r="R134" s="14">
        <f>IF(COUNTIF(Abstimmungen!$B$5:$B$2000,D134)-COUNTIFS(Abstimmungen!$B$5:$B$2000,D134,Abstimmungen!$D$5:$D$2000,"*berweisung*")&gt;0,1,0)</f>
        <v/>
      </c>
    </row>
    <row r="135">
      <c r="A135" s="13" t="n">
        <v>45546</v>
      </c>
      <c r="B135" s="14">
        <f>IF(A135="","",YEAR(A135))</f>
        <v/>
      </c>
      <c r="C135" s="14">
        <f>IF(A135="","",YEAR(A135)&amp;"-Q"&amp;ROUNDUP(MONTH(A135)/3,0))</f>
        <v/>
      </c>
      <c r="D135" s="14" t="inlineStr">
        <is>
          <t>20/12920</t>
        </is>
      </c>
      <c r="E135" s="14" t="inlineStr">
        <is>
          <t>Antwort</t>
        </is>
      </c>
      <c r="F135" s="14" t="inlineStr">
        <is>
          <t>Bundesregierung</t>
        </is>
      </c>
      <c r="G135" s="14" t="inlineStr">
        <is>
          <t>Regierung</t>
        </is>
      </c>
      <c r="H135" s="14" t="inlineStr">
        <is>
          <t>20</t>
        </is>
      </c>
      <c r="I135" s="14" t="inlineStr">
        <is>
          <t>Infrastruktur/Netz</t>
        </is>
      </c>
      <c r="J135" s="14" t="inlineStr">
        <is>
          <t>20/12521</t>
        </is>
      </c>
      <c r="K135" s="15">
        <f>IF(OR(J135="",LEFT(E135,7)&lt;&gt;"Antwort"),"",IFERROR(A135-INDEX($A$2:$A$293,MATCH(J135,$D$2:$D$293,0)),""))</f>
        <v/>
      </c>
      <c r="L135" s="14">
        <f>IF(E135&lt;&gt;"Kleine Anfrage","",IFERROR(INDEX($D$2:$D$293,MATCH(D135,$J$2:$J$293,0)),"offen"))</f>
        <v/>
      </c>
      <c r="M135" s="14" t="inlineStr">
        <is>
          <t>Folgen nicht erteilter Ausnahmegenehmigungen für schwere Güterzüge auf Strecken des Schienennetzes in Thüringen (Nachfrage zur Antwort der Bundesregierung auf die Kleine Anfrage auf Bundestagsdrucksache 20/12355)</t>
        </is>
      </c>
      <c r="N135" s="14" t="inlineStr">
        <is>
          <t>Bundesregierung</t>
        </is>
      </c>
      <c r="O135" s="16" t="inlineStr">
        <is>
          <t>PDF</t>
        </is>
      </c>
      <c r="P135" s="14" t="inlineStr">
        <is>
          <t>AfD</t>
        </is>
      </c>
      <c r="Q135" s="14" t="inlineStr"/>
      <c r="R135" s="14">
        <f>IF(COUNTIF(Abstimmungen!$B$5:$B$2000,D135)-COUNTIFS(Abstimmungen!$B$5:$B$2000,D135,Abstimmungen!$D$5:$D$2000,"*berweisung*")&gt;0,1,0)</f>
        <v/>
      </c>
    </row>
    <row r="136">
      <c r="A136" s="13" t="n">
        <v>45541</v>
      </c>
      <c r="B136" s="14">
        <f>IF(A136="","",YEAR(A136))</f>
        <v/>
      </c>
      <c r="C136" s="14">
        <f>IF(A136="","",YEAR(A136)&amp;"-Q"&amp;ROUNDUP(MONTH(A136)/3,0))</f>
        <v/>
      </c>
      <c r="D136" s="14" t="inlineStr">
        <is>
          <t>20/12763</t>
        </is>
      </c>
      <c r="E136" s="14" t="inlineStr">
        <is>
          <t>Antwort</t>
        </is>
      </c>
      <c r="F136" s="14" t="inlineStr">
        <is>
          <t>Bundesregierung</t>
        </is>
      </c>
      <c r="G136" s="14" t="inlineStr">
        <is>
          <t>Regierung</t>
        </is>
      </c>
      <c r="H136" s="14" t="inlineStr">
        <is>
          <t>20</t>
        </is>
      </c>
      <c r="I136" s="14" t="inlineStr">
        <is>
          <t>Konzernstruktur/DB AG</t>
        </is>
      </c>
      <c r="J136" s="14" t="inlineStr">
        <is>
          <t>20/12384</t>
        </is>
      </c>
      <c r="K136" s="15">
        <f>IF(OR(J136="",LEFT(E136,7)&lt;&gt;"Antwort"),"",IFERROR(A136-INDEX($A$2:$A$293,MATCH(J136,$D$2:$D$293,0)),""))</f>
        <v/>
      </c>
      <c r="L136" s="14">
        <f>IF(E136&lt;&gt;"Kleine Anfrage","",IFERROR(INDEX($D$2:$D$293,MATCH(D136,$J$2:$J$293,0)),"offen"))</f>
        <v/>
      </c>
      <c r="M136" s="14" t="inlineStr">
        <is>
          <t>Geschäftstätigkeit der Deutsche Bahn AG</t>
        </is>
      </c>
      <c r="N136" s="14" t="inlineStr">
        <is>
          <t>Bundesregierung</t>
        </is>
      </c>
      <c r="O136" s="16" t="inlineStr">
        <is>
          <t>PDF</t>
        </is>
      </c>
      <c r="P136" s="14" t="inlineStr">
        <is>
          <t>Linke</t>
        </is>
      </c>
      <c r="Q136" s="14" t="inlineStr"/>
      <c r="R136" s="14">
        <f>IF(COUNTIF(Abstimmungen!$B$5:$B$2000,D136)-COUNTIFS(Abstimmungen!$B$5:$B$2000,D136,Abstimmungen!$D$5:$D$2000,"*berweisung*")&gt;0,1,0)</f>
        <v/>
      </c>
    </row>
    <row r="137">
      <c r="A137" s="13" t="n">
        <v>45540</v>
      </c>
      <c r="B137" s="14">
        <f>IF(A137="","",YEAR(A137))</f>
        <v/>
      </c>
      <c r="C137" s="14">
        <f>IF(A137="","",YEAR(A137)&amp;"-Q"&amp;ROUNDUP(MONTH(A137)/3,0))</f>
        <v/>
      </c>
      <c r="D137" s="14" t="inlineStr">
        <is>
          <t>20/12823</t>
        </is>
      </c>
      <c r="E137" s="14" t="inlineStr">
        <is>
          <t>Antwort</t>
        </is>
      </c>
      <c r="F137" s="14" t="inlineStr">
        <is>
          <t>Bundesregierung</t>
        </is>
      </c>
      <c r="G137" s="14" t="inlineStr">
        <is>
          <t>Regierung</t>
        </is>
      </c>
      <c r="H137" s="14" t="inlineStr">
        <is>
          <t>20</t>
        </is>
      </c>
      <c r="I137" s="14" t="inlineStr">
        <is>
          <t>Bahnhoefe</t>
        </is>
      </c>
      <c r="J137" s="14" t="inlineStr">
        <is>
          <t>20/12460</t>
        </is>
      </c>
      <c r="K137" s="15">
        <f>IF(OR(J137="",LEFT(E137,7)&lt;&gt;"Antwort"),"",IFERROR(A137-INDEX($A$2:$A$293,MATCH(J137,$D$2:$D$293,0)),""))</f>
        <v/>
      </c>
      <c r="L137" s="14">
        <f>IF(E137&lt;&gt;"Kleine Anfrage","",IFERROR(INDEX($D$2:$D$293,MATCH(D137,$J$2:$J$293,0)),"offen"))</f>
        <v/>
      </c>
      <c r="M137" s="14" t="inlineStr">
        <is>
          <t>Umstände der Übergabe von drei unbefristeten Dauerleihgaben aus dem Museum Hamburger Bahnhof - Nationalgalerie der Gegenwart aus der Sammlung Erich Marx an dessen Erben</t>
        </is>
      </c>
      <c r="N137" s="14" t="inlineStr">
        <is>
          <t>Bundesregierung</t>
        </is>
      </c>
      <c r="O137" s="16" t="inlineStr">
        <is>
          <t>PDF</t>
        </is>
      </c>
      <c r="P137" s="14" t="inlineStr">
        <is>
          <t>AfD</t>
        </is>
      </c>
      <c r="Q137" s="14" t="inlineStr"/>
      <c r="R137" s="14">
        <f>IF(COUNTIF(Abstimmungen!$B$5:$B$2000,D137)-COUNTIFS(Abstimmungen!$B$5:$B$2000,D137,Abstimmungen!$D$5:$D$2000,"*berweisung*")&gt;0,1,0)</f>
        <v/>
      </c>
    </row>
    <row r="138">
      <c r="A138" s="13" t="n">
        <v>45520</v>
      </c>
      <c r="B138" s="14">
        <f>IF(A138="","",YEAR(A138))</f>
        <v/>
      </c>
      <c r="C138" s="14">
        <f>IF(A138="","",YEAR(A138)&amp;"-Q"&amp;ROUNDUP(MONTH(A138)/3,0))</f>
        <v/>
      </c>
      <c r="D138" s="14" t="inlineStr">
        <is>
          <t>20/12602</t>
        </is>
      </c>
      <c r="E138" s="14" t="inlineStr">
        <is>
          <t>Antwort</t>
        </is>
      </c>
      <c r="F138" s="14" t="inlineStr">
        <is>
          <t>Bundesregierung</t>
        </is>
      </c>
      <c r="G138" s="14" t="inlineStr">
        <is>
          <t>Regierung</t>
        </is>
      </c>
      <c r="H138" s="14" t="inlineStr">
        <is>
          <t>20</t>
        </is>
      </c>
      <c r="I138" s="14" t="inlineStr">
        <is>
          <t>Bahnhoefe; Barrierefreiheit</t>
        </is>
      </c>
      <c r="J138" s="14" t="inlineStr">
        <is>
          <t>20/12185</t>
        </is>
      </c>
      <c r="K138" s="15">
        <f>IF(OR(J138="",LEFT(E138,7)&lt;&gt;"Antwort"),"",IFERROR(A138-INDEX($A$2:$A$293,MATCH(J138,$D$2:$D$293,0)),""))</f>
        <v/>
      </c>
      <c r="L138" s="14">
        <f>IF(E138&lt;&gt;"Kleine Anfrage","",IFERROR(INDEX($D$2:$D$293,MATCH(D138,$J$2:$J$293,0)),"offen"))</f>
        <v/>
      </c>
      <c r="M138" s="14" t="inlineStr">
        <is>
          <t>Barrierefreie Toilettenanlagen auf Bahnhöfen und an weiteren wichtigen Stellen der touristischen bzw. öffentlichen Infrastruktur</t>
        </is>
      </c>
      <c r="N138" s="14" t="inlineStr">
        <is>
          <t>Bundesregierung</t>
        </is>
      </c>
      <c r="O138" s="16" t="inlineStr">
        <is>
          <t>PDF</t>
        </is>
      </c>
      <c r="P138" s="14" t="inlineStr">
        <is>
          <t>Linke</t>
        </is>
      </c>
      <c r="Q138" s="14" t="inlineStr"/>
      <c r="R138" s="14">
        <f>IF(COUNTIF(Abstimmungen!$B$5:$B$2000,D138)-COUNTIFS(Abstimmungen!$B$5:$B$2000,D138,Abstimmungen!$D$5:$D$2000,"*berweisung*")&gt;0,1,0)</f>
        <v/>
      </c>
    </row>
    <row r="139">
      <c r="A139" s="13" t="n">
        <v>45517</v>
      </c>
      <c r="B139" s="14">
        <f>IF(A139="","",YEAR(A139))</f>
        <v/>
      </c>
      <c r="C139" s="14">
        <f>IF(A139="","",YEAR(A139)&amp;"-Q"&amp;ROUNDUP(MONTH(A139)/3,0))</f>
        <v/>
      </c>
      <c r="D139" s="14" t="inlineStr">
        <is>
          <t>20/12521</t>
        </is>
      </c>
      <c r="E139" s="14" t="inlineStr">
        <is>
          <t>Kleine Anfrage</t>
        </is>
      </c>
      <c r="F139" s="14" t="inlineStr">
        <is>
          <t>AfD</t>
        </is>
      </c>
      <c r="G139" s="14" t="inlineStr">
        <is>
          <t>Opposition</t>
        </is>
      </c>
      <c r="H139" s="14" t="inlineStr">
        <is>
          <t>20</t>
        </is>
      </c>
      <c r="I139" s="14" t="inlineStr">
        <is>
          <t>Infrastruktur/Netz</t>
        </is>
      </c>
      <c r="J139" s="14" t="inlineStr"/>
      <c r="K139" s="15">
        <f>IF(OR(J139="",LEFT(E139,7)&lt;&gt;"Antwort"),"",IFERROR(A139-INDEX($A$2:$A$293,MATCH(J139,$D$2:$D$293,0)),""))</f>
        <v/>
      </c>
      <c r="L139" s="14">
        <f>IF(E139&lt;&gt;"Kleine Anfrage","",IFERROR(INDEX($D$2:$D$293,MATCH(D139,$J$2:$J$293,0)),"offen"))</f>
        <v/>
      </c>
      <c r="M139" s="14" t="inlineStr">
        <is>
          <t>Folgen nicht erteilter Ausnahmegenehmigungen für schwere Güterzüge auf Strecken des Schienennetzes in Thüringen (Nachfrage zur Antwort der Bundesregierung auf die Kleine Anfrage auf Bundestagsdrucksache 20/12355)</t>
        </is>
      </c>
      <c r="N139" s="14" t="inlineStr">
        <is>
          <t>Fraktion der AfD</t>
        </is>
      </c>
      <c r="O139" s="16" t="inlineStr">
        <is>
          <t>PDF</t>
        </is>
      </c>
      <c r="P139" s="14" t="inlineStr"/>
      <c r="Q139" s="14" t="inlineStr"/>
      <c r="R139" s="14">
        <f>IF(COUNTIF(Abstimmungen!$B$5:$B$2000,D139)-COUNTIFS(Abstimmungen!$B$5:$B$2000,D139,Abstimmungen!$D$5:$D$2000,"*berweisung*")&gt;0,1,0)</f>
        <v/>
      </c>
    </row>
    <row r="140">
      <c r="A140" s="13" t="n">
        <v>45517</v>
      </c>
      <c r="B140" s="14">
        <f>IF(A140="","",YEAR(A140))</f>
        <v/>
      </c>
      <c r="C140" s="14">
        <f>IF(A140="","",YEAR(A140)&amp;"-Q"&amp;ROUNDUP(MONTH(A140)/3,0))</f>
        <v/>
      </c>
      <c r="D140" s="14" t="inlineStr">
        <is>
          <t>20/12522</t>
        </is>
      </c>
      <c r="E140" s="14" t="inlineStr">
        <is>
          <t>Kleine Anfrage</t>
        </is>
      </c>
      <c r="F140" s="14" t="inlineStr">
        <is>
          <t>AfD</t>
        </is>
      </c>
      <c r="G140" s="14" t="inlineStr">
        <is>
          <t>Opposition</t>
        </is>
      </c>
      <c r="H140" s="14" t="inlineStr">
        <is>
          <t>20</t>
        </is>
      </c>
      <c r="I140" s="14" t="inlineStr">
        <is>
          <t>Personal</t>
        </is>
      </c>
      <c r="J140" s="14" t="inlineStr"/>
      <c r="K140" s="15">
        <f>IF(OR(J140="",LEFT(E140,7)&lt;&gt;"Antwort"),"",IFERROR(A140-INDEX($A$2:$A$293,MATCH(J140,$D$2:$D$293,0)),""))</f>
        <v/>
      </c>
      <c r="L140" s="14">
        <f>IF(E140&lt;&gt;"Kleine Anfrage","",IFERROR(INDEX($D$2:$D$293,MATCH(D140,$J$2:$J$293,0)),"offen"))</f>
        <v/>
      </c>
      <c r="M140" s="14" t="inlineStr">
        <is>
          <t>Personalbedarf bei Unternehmen der Deutschen Bahn AG</t>
        </is>
      </c>
      <c r="N140" s="14" t="inlineStr">
        <is>
          <t>Fraktion der AfD</t>
        </is>
      </c>
      <c r="O140" s="16" t="inlineStr">
        <is>
          <t>PDF</t>
        </is>
      </c>
      <c r="P140" s="14" t="inlineStr"/>
      <c r="Q140" s="14" t="inlineStr"/>
      <c r="R140" s="14">
        <f>IF(COUNTIF(Abstimmungen!$B$5:$B$2000,D140)-COUNTIFS(Abstimmungen!$B$5:$B$2000,D140,Abstimmungen!$D$5:$D$2000,"*berweisung*")&gt;0,1,0)</f>
        <v/>
      </c>
    </row>
    <row r="141">
      <c r="A141" s="13" t="n">
        <v>45512</v>
      </c>
      <c r="B141" s="14">
        <f>IF(A141="","",YEAR(A141))</f>
        <v/>
      </c>
      <c r="C141" s="14">
        <f>IF(A141="","",YEAR(A141)&amp;"-Q"&amp;ROUNDUP(MONTH(A141)/3,0))</f>
        <v/>
      </c>
      <c r="D141" s="14" t="inlineStr">
        <is>
          <t>20/12511</t>
        </is>
      </c>
      <c r="E141" s="14" t="inlineStr">
        <is>
          <t>Antwort</t>
        </is>
      </c>
      <c r="F141" s="14" t="inlineStr">
        <is>
          <t>Bundesregierung</t>
        </is>
      </c>
      <c r="G141" s="14" t="inlineStr">
        <is>
          <t>Regierung</t>
        </is>
      </c>
      <c r="H141" s="14" t="inlineStr">
        <is>
          <t>20</t>
        </is>
      </c>
      <c r="I141" s="14" t="inlineStr">
        <is>
          <t>Bahnhoefe; Kriminalitaet</t>
        </is>
      </c>
      <c r="J141" s="14" t="inlineStr">
        <is>
          <t>20/12298</t>
        </is>
      </c>
      <c r="K141" s="15">
        <f>IF(OR(J141="",LEFT(E141,7)&lt;&gt;"Antwort"),"",IFERROR(A141-INDEX($A$2:$A$293,MATCH(J141,$D$2:$D$293,0)),""))</f>
        <v/>
      </c>
      <c r="L141" s="14">
        <f>IF(E141&lt;&gt;"Kleine Anfrage","",IFERROR(INDEX($D$2:$D$293,MATCH(D141,$J$2:$J$293,0)),"offen"))</f>
        <v/>
      </c>
      <c r="M141" s="14" t="inlineStr">
        <is>
          <t>Kriminalitätsfelder in Bezug auf Bahnhöfe und Züge im ersten Halbjahr 2024</t>
        </is>
      </c>
      <c r="N141" s="14" t="inlineStr">
        <is>
          <t>Bundesregierung</t>
        </is>
      </c>
      <c r="O141" s="16" t="inlineStr">
        <is>
          <t>PDF</t>
        </is>
      </c>
      <c r="P141" s="14" t="inlineStr">
        <is>
          <t>AfD</t>
        </is>
      </c>
      <c r="Q141" s="14" t="inlineStr"/>
      <c r="R141" s="14">
        <f>IF(COUNTIF(Abstimmungen!$B$5:$B$2000,D141)-COUNTIFS(Abstimmungen!$B$5:$B$2000,D141,Abstimmungen!$D$5:$D$2000,"*berweisung*")&gt;0,1,0)</f>
        <v/>
      </c>
    </row>
    <row r="142">
      <c r="A142" s="13" t="n">
        <v>45511</v>
      </c>
      <c r="B142" s="14">
        <f>IF(A142="","",YEAR(A142))</f>
        <v/>
      </c>
      <c r="C142" s="14">
        <f>IF(A142="","",YEAR(A142)&amp;"-Q"&amp;ROUNDUP(MONTH(A142)/3,0))</f>
        <v/>
      </c>
      <c r="D142" s="14" t="inlineStr">
        <is>
          <t>20/12460</t>
        </is>
      </c>
      <c r="E142" s="14" t="inlineStr">
        <is>
          <t>Kleine Anfrage</t>
        </is>
      </c>
      <c r="F142" s="14" t="inlineStr">
        <is>
          <t>AfD</t>
        </is>
      </c>
      <c r="G142" s="14" t="inlineStr">
        <is>
          <t>Opposition</t>
        </is>
      </c>
      <c r="H142" s="14" t="inlineStr">
        <is>
          <t>20</t>
        </is>
      </c>
      <c r="I142" s="14" t="inlineStr">
        <is>
          <t>Bahnhoefe</t>
        </is>
      </c>
      <c r="J142" s="14" t="inlineStr"/>
      <c r="K142" s="15">
        <f>IF(OR(J142="",LEFT(E142,7)&lt;&gt;"Antwort"),"",IFERROR(A142-INDEX($A$2:$A$293,MATCH(J142,$D$2:$D$293,0)),""))</f>
        <v/>
      </c>
      <c r="L142" s="14">
        <f>IF(E142&lt;&gt;"Kleine Anfrage","",IFERROR(INDEX($D$2:$D$293,MATCH(D142,$J$2:$J$293,0)),"offen"))</f>
        <v/>
      </c>
      <c r="M142" s="14" t="inlineStr">
        <is>
          <t>Umstände der Übergabe von drei unbefristeten Dauerleihgaben aus dem Museum Hamburger Bahnhof - Nationalgalerie der Gegenwart aus der Sammlung Erich Marx an dessen Erben</t>
        </is>
      </c>
      <c r="N142" s="14" t="inlineStr">
        <is>
          <t>Fraktion der AfD</t>
        </is>
      </c>
      <c r="O142" s="16" t="inlineStr">
        <is>
          <t>PDF</t>
        </is>
      </c>
      <c r="P142" s="14" t="inlineStr"/>
      <c r="Q142" s="14" t="inlineStr"/>
      <c r="R142" s="14">
        <f>IF(COUNTIF(Abstimmungen!$B$5:$B$2000,D142)-COUNTIFS(Abstimmungen!$B$5:$B$2000,D142,Abstimmungen!$D$5:$D$2000,"*berweisung*")&gt;0,1,0)</f>
        <v/>
      </c>
    </row>
    <row r="143">
      <c r="A143" s="13" t="n">
        <v>45510</v>
      </c>
      <c r="B143" s="14">
        <f>IF(A143="","",YEAR(A143))</f>
        <v/>
      </c>
      <c r="C143" s="14">
        <f>IF(A143="","",YEAR(A143)&amp;"-Q"&amp;ROUNDUP(MONTH(A143)/3,0))</f>
        <v/>
      </c>
      <c r="D143" s="14" t="inlineStr">
        <is>
          <t>20/12503</t>
        </is>
      </c>
      <c r="E143" s="14" t="inlineStr">
        <is>
          <t>Antwort</t>
        </is>
      </c>
      <c r="F143" s="14" t="inlineStr">
        <is>
          <t>Bundesregierung</t>
        </is>
      </c>
      <c r="G143" s="14" t="inlineStr">
        <is>
          <t>Regierung</t>
        </is>
      </c>
      <c r="H143" s="14" t="inlineStr">
        <is>
          <t>20</t>
        </is>
      </c>
      <c r="I143" s="14" t="inlineStr">
        <is>
          <t>Infrastruktur/Netz</t>
        </is>
      </c>
      <c r="J143" s="14" t="inlineStr">
        <is>
          <t>20/12025</t>
        </is>
      </c>
      <c r="K143" s="15">
        <f>IF(OR(J143="",LEFT(E143,7)&lt;&gt;"Antwort"),"",IFERROR(A143-INDEX($A$2:$A$293,MATCH(J143,$D$2:$D$293,0)),""))</f>
        <v/>
      </c>
      <c r="L143" s="14">
        <f>IF(E143&lt;&gt;"Kleine Anfrage","",IFERROR(INDEX($D$2:$D$293,MATCH(D143,$J$2:$J$293,0)),"offen"))</f>
        <v/>
      </c>
      <c r="M143" s="14" t="inlineStr">
        <is>
          <t>Kapazitäten im Schienennetz rund um den Knotenpunkt Augsburg</t>
        </is>
      </c>
      <c r="N143" s="14" t="inlineStr">
        <is>
          <t>Bundesregierung</t>
        </is>
      </c>
      <c r="O143" s="16" t="inlineStr">
        <is>
          <t>PDF</t>
        </is>
      </c>
      <c r="P143" s="14" t="inlineStr">
        <is>
          <t>CDU/CSU</t>
        </is>
      </c>
      <c r="Q143" s="14" t="inlineStr"/>
      <c r="R143" s="14">
        <f>IF(COUNTIF(Abstimmungen!$B$5:$B$2000,D143)-COUNTIFS(Abstimmungen!$B$5:$B$2000,D143,Abstimmungen!$D$5:$D$2000,"*berweisung*")&gt;0,1,0)</f>
        <v/>
      </c>
    </row>
    <row r="144">
      <c r="A144" s="13" t="n">
        <v>45499</v>
      </c>
      <c r="B144" s="14">
        <f>IF(A144="","",YEAR(A144))</f>
        <v/>
      </c>
      <c r="C144" s="14">
        <f>IF(A144="","",YEAR(A144)&amp;"-Q"&amp;ROUNDUP(MONTH(A144)/3,0))</f>
        <v/>
      </c>
      <c r="D144" s="14" t="inlineStr">
        <is>
          <t>20/12384</t>
        </is>
      </c>
      <c r="E144" s="14" t="inlineStr">
        <is>
          <t>Kleine Anfrage</t>
        </is>
      </c>
      <c r="F144" s="14" t="inlineStr">
        <is>
          <t>Linke</t>
        </is>
      </c>
      <c r="G144" s="14" t="inlineStr">
        <is>
          <t>Opposition</t>
        </is>
      </c>
      <c r="H144" s="14" t="inlineStr">
        <is>
          <t>20</t>
        </is>
      </c>
      <c r="I144" s="14" t="inlineStr">
        <is>
          <t>Sonstiges</t>
        </is>
      </c>
      <c r="J144" s="14" t="inlineStr"/>
      <c r="K144" s="15">
        <f>IF(OR(J144="",LEFT(E144,7)&lt;&gt;"Antwort"),"",IFERROR(A144-INDEX($A$2:$A$293,MATCH(J144,$D$2:$D$293,0)),""))</f>
        <v/>
      </c>
      <c r="L144" s="14">
        <f>IF(E144&lt;&gt;"Kleine Anfrage","",IFERROR(INDEX($D$2:$D$293,MATCH(D144,$J$2:$J$293,0)),"offen"))</f>
        <v/>
      </c>
      <c r="M144" s="14" t="inlineStr">
        <is>
          <t>Geschäftstätigkeit der Deutsche Bahn</t>
        </is>
      </c>
      <c r="N144" s="14" t="inlineStr">
        <is>
          <t>Gruppe Die Linke</t>
        </is>
      </c>
      <c r="O144" s="16" t="inlineStr">
        <is>
          <t>PDF</t>
        </is>
      </c>
      <c r="P144" s="14" t="inlineStr"/>
      <c r="Q144" s="14" t="inlineStr"/>
      <c r="R144" s="14">
        <f>IF(COUNTIF(Abstimmungen!$B$5:$B$2000,D144)-COUNTIFS(Abstimmungen!$B$5:$B$2000,D144,Abstimmungen!$D$5:$D$2000,"*berweisung*")&gt;0,1,0)</f>
        <v/>
      </c>
    </row>
    <row r="145">
      <c r="A145" s="13" t="n">
        <v>45495</v>
      </c>
      <c r="B145" s="14">
        <f>IF(A145="","",YEAR(A145))</f>
        <v/>
      </c>
      <c r="C145" s="14">
        <f>IF(A145="","",YEAR(A145)&amp;"-Q"&amp;ROUNDUP(MONTH(A145)/3,0))</f>
        <v/>
      </c>
      <c r="D145" s="14" t="inlineStr">
        <is>
          <t>20/12338</t>
        </is>
      </c>
      <c r="E145" s="14" t="inlineStr">
        <is>
          <t>Antwort</t>
        </is>
      </c>
      <c r="F145" s="14" t="inlineStr">
        <is>
          <t>Bundesregierung</t>
        </is>
      </c>
      <c r="G145" s="14" t="inlineStr">
        <is>
          <t>Regierung</t>
        </is>
      </c>
      <c r="H145" s="14" t="inlineStr">
        <is>
          <t>20</t>
        </is>
      </c>
      <c r="I145" s="14" t="inlineStr">
        <is>
          <t>Sonstiges</t>
        </is>
      </c>
      <c r="J145" s="14" t="inlineStr">
        <is>
          <t>20/11589</t>
        </is>
      </c>
      <c r="K145" s="15">
        <f>IF(OR(J145="",LEFT(E145,7)&lt;&gt;"Antwort"),"",IFERROR(A145-INDEX($A$2:$A$293,MATCH(J145,$D$2:$D$293,0)),""))</f>
        <v/>
      </c>
      <c r="L145" s="14">
        <f>IF(E145&lt;&gt;"Kleine Anfrage","",IFERROR(INDEX($D$2:$D$293,MATCH(D145,$J$2:$J$293,0)),"offen"))</f>
        <v/>
      </c>
      <c r="M145" s="14" t="inlineStr">
        <is>
          <t>Wettbewerb im Schienenverkehr</t>
        </is>
      </c>
      <c r="N145" s="14" t="inlineStr">
        <is>
          <t>Bundesregierung</t>
        </is>
      </c>
      <c r="O145" s="16" t="inlineStr">
        <is>
          <t>PDF</t>
        </is>
      </c>
      <c r="P145" s="14" t="inlineStr">
        <is>
          <t>CDU/CSU</t>
        </is>
      </c>
      <c r="Q145" s="14" t="inlineStr"/>
      <c r="R145" s="14">
        <f>IF(COUNTIF(Abstimmungen!$B$5:$B$2000,D145)-COUNTIFS(Abstimmungen!$B$5:$B$2000,D145,Abstimmungen!$D$5:$D$2000,"*berweisung*")&gt;0,1,0)</f>
        <v/>
      </c>
    </row>
    <row r="146">
      <c r="A146" s="13" t="n">
        <v>45495</v>
      </c>
      <c r="B146" s="14">
        <f>IF(A146="","",YEAR(A146))</f>
        <v/>
      </c>
      <c r="C146" s="14">
        <f>IF(A146="","",YEAR(A146)&amp;"-Q"&amp;ROUNDUP(MONTH(A146)/3,0))</f>
        <v/>
      </c>
      <c r="D146" s="14" t="inlineStr">
        <is>
          <t>20/12355</t>
        </is>
      </c>
      <c r="E146" s="14" t="inlineStr">
        <is>
          <t>Antwort</t>
        </is>
      </c>
      <c r="F146" s="14" t="inlineStr">
        <is>
          <t>Bundesregierung</t>
        </is>
      </c>
      <c r="G146" s="14" t="inlineStr">
        <is>
          <t>Regierung</t>
        </is>
      </c>
      <c r="H146" s="14" t="inlineStr">
        <is>
          <t>20</t>
        </is>
      </c>
      <c r="I146" s="14" t="inlineStr">
        <is>
          <t>Infrastruktur/Netz</t>
        </is>
      </c>
      <c r="J146" s="14" t="inlineStr">
        <is>
          <t>20/11923</t>
        </is>
      </c>
      <c r="K146" s="15">
        <f>IF(OR(J146="",LEFT(E146,7)&lt;&gt;"Antwort"),"",IFERROR(A146-INDEX($A$2:$A$293,MATCH(J146,$D$2:$D$293,0)),""))</f>
        <v/>
      </c>
      <c r="L146" s="14">
        <f>IF(E146&lt;&gt;"Kleine Anfrage","",IFERROR(INDEX($D$2:$D$293,MATCH(D146,$J$2:$J$293,0)),"offen"))</f>
        <v/>
      </c>
      <c r="M146" s="14" t="inlineStr">
        <is>
          <t>Folgen nicht erteilter Ausnahmegenehmigungen für schwere Güterzüge auf Strecken des Schienennetzes in Thüringen</t>
        </is>
      </c>
      <c r="N146" s="14" t="inlineStr">
        <is>
          <t>Bundesregierung</t>
        </is>
      </c>
      <c r="O146" s="16" t="inlineStr">
        <is>
          <t>PDF</t>
        </is>
      </c>
      <c r="P146" s="14" t="inlineStr">
        <is>
          <t>AfD</t>
        </is>
      </c>
      <c r="Q146" s="14" t="inlineStr"/>
      <c r="R146" s="14">
        <f>IF(COUNTIF(Abstimmungen!$B$5:$B$2000,D146)-COUNTIFS(Abstimmungen!$B$5:$B$2000,D146,Abstimmungen!$D$5:$D$2000,"*berweisung*")&gt;0,1,0)</f>
        <v/>
      </c>
    </row>
    <row r="147">
      <c r="A147" s="13" t="n">
        <v>45492</v>
      </c>
      <c r="B147" s="14">
        <f>IF(A147="","",YEAR(A147))</f>
        <v/>
      </c>
      <c r="C147" s="14">
        <f>IF(A147="","",YEAR(A147)&amp;"-Q"&amp;ROUNDUP(MONTH(A147)/3,0))</f>
        <v/>
      </c>
      <c r="D147" s="14" t="inlineStr">
        <is>
          <t>20/12298</t>
        </is>
      </c>
      <c r="E147" s="14" t="inlineStr">
        <is>
          <t>Kleine Anfrage</t>
        </is>
      </c>
      <c r="F147" s="14" t="inlineStr">
        <is>
          <t>AfD</t>
        </is>
      </c>
      <c r="G147" s="14" t="inlineStr">
        <is>
          <t>Opposition</t>
        </is>
      </c>
      <c r="H147" s="14" t="inlineStr">
        <is>
          <t>20</t>
        </is>
      </c>
      <c r="I147" s="14" t="inlineStr">
        <is>
          <t>Bahnhoefe; Kriminalitaet</t>
        </is>
      </c>
      <c r="J147" s="14" t="inlineStr"/>
      <c r="K147" s="15">
        <f>IF(OR(J147="",LEFT(E147,7)&lt;&gt;"Antwort"),"",IFERROR(A147-INDEX($A$2:$A$293,MATCH(J147,$D$2:$D$293,0)),""))</f>
        <v/>
      </c>
      <c r="L147" s="14">
        <f>IF(E147&lt;&gt;"Kleine Anfrage","",IFERROR(INDEX($D$2:$D$293,MATCH(D147,$J$2:$J$293,0)),"offen"))</f>
        <v/>
      </c>
      <c r="M147" s="14" t="inlineStr">
        <is>
          <t>Kriminalitätsfelder in Bezug auf Bahnhöfe und Züge im ersten Halbjahr 2024</t>
        </is>
      </c>
      <c r="N147" s="14" t="inlineStr">
        <is>
          <t>Fraktion der AfD</t>
        </is>
      </c>
      <c r="O147" s="16" t="inlineStr">
        <is>
          <t>PDF</t>
        </is>
      </c>
      <c r="P147" s="14" t="inlineStr"/>
      <c r="Q147" s="14" t="inlineStr">
        <is>
          <t>Bahnhöfe / Kriminalitätsfelder</t>
        </is>
      </c>
      <c r="R147" s="14">
        <f>IF(COUNTIF(Abstimmungen!$B$5:$B$2000,D147)-COUNTIFS(Abstimmungen!$B$5:$B$2000,D147,Abstimmungen!$D$5:$D$2000,"*berweisung*")&gt;0,1,0)</f>
        <v/>
      </c>
    </row>
    <row r="148">
      <c r="A148" s="13" t="n">
        <v>45478</v>
      </c>
      <c r="B148" s="14">
        <f>IF(A148="","",YEAR(A148))</f>
        <v/>
      </c>
      <c r="C148" s="14">
        <f>IF(A148="","",YEAR(A148)&amp;"-Q"&amp;ROUNDUP(MONTH(A148)/3,0))</f>
        <v/>
      </c>
      <c r="D148" s="14" t="inlineStr">
        <is>
          <t>20/12185</t>
        </is>
      </c>
      <c r="E148" s="14" t="inlineStr">
        <is>
          <t>Kleine Anfrage</t>
        </is>
      </c>
      <c r="F148" s="14" t="inlineStr">
        <is>
          <t>Linke</t>
        </is>
      </c>
      <c r="G148" s="14" t="inlineStr">
        <is>
          <t>Opposition</t>
        </is>
      </c>
      <c r="H148" s="14" t="inlineStr">
        <is>
          <t>20</t>
        </is>
      </c>
      <c r="I148" s="14" t="inlineStr">
        <is>
          <t>Bahnhoefe; Barrierefreiheit</t>
        </is>
      </c>
      <c r="J148" s="14" t="inlineStr"/>
      <c r="K148" s="15">
        <f>IF(OR(J148="",LEFT(E148,7)&lt;&gt;"Antwort"),"",IFERROR(A148-INDEX($A$2:$A$293,MATCH(J148,$D$2:$D$293,0)),""))</f>
        <v/>
      </c>
      <c r="L148" s="14">
        <f>IF(E148&lt;&gt;"Kleine Anfrage","",IFERROR(INDEX($D$2:$D$293,MATCH(D148,$J$2:$J$293,0)),"offen"))</f>
        <v/>
      </c>
      <c r="M148" s="14" t="inlineStr">
        <is>
          <t>Barrierefreie Toilettenanlagen auf Bahnhöfen und an weiteren wichtigen Stellen der touristischen bzw. öffentlichen Infrastruktur</t>
        </is>
      </c>
      <c r="N148" s="14" t="inlineStr">
        <is>
          <t>Gruppe Die Linke</t>
        </is>
      </c>
      <c r="O148" s="16" t="inlineStr">
        <is>
          <t>PDF</t>
        </is>
      </c>
      <c r="P148" s="14" t="inlineStr"/>
      <c r="Q148" s="14" t="inlineStr"/>
      <c r="R148" s="14">
        <f>IF(COUNTIF(Abstimmungen!$B$5:$B$2000,D148)-COUNTIFS(Abstimmungen!$B$5:$B$2000,D148,Abstimmungen!$D$5:$D$2000,"*berweisung*")&gt;0,1,0)</f>
        <v/>
      </c>
    </row>
    <row r="149">
      <c r="A149" s="13" t="n">
        <v>45477</v>
      </c>
      <c r="B149" s="14">
        <f>IF(A149="","",YEAR(A149))</f>
        <v/>
      </c>
      <c r="C149" s="14">
        <f>IF(A149="","",YEAR(A149)&amp;"-Q"&amp;ROUNDUP(MONTH(A149)/3,0))</f>
        <v/>
      </c>
      <c r="D149" s="14" t="inlineStr">
        <is>
          <t>20/12222</t>
        </is>
      </c>
      <c r="E149" s="14" t="inlineStr">
        <is>
          <t>Antwort</t>
        </is>
      </c>
      <c r="F149" s="14" t="inlineStr">
        <is>
          <t>Bundesregierung</t>
        </is>
      </c>
      <c r="G149" s="14" t="inlineStr">
        <is>
          <t>Regierung</t>
        </is>
      </c>
      <c r="H149" s="14" t="inlineStr">
        <is>
          <t>20</t>
        </is>
      </c>
      <c r="I149" s="14" t="inlineStr">
        <is>
          <t>Sonstiges</t>
        </is>
      </c>
      <c r="J149" s="14" t="inlineStr">
        <is>
          <t>20/11503</t>
        </is>
      </c>
      <c r="K149" s="15">
        <f>IF(OR(J149="",LEFT(E149,7)&lt;&gt;"Antwort"),"",IFERROR(A149-INDEX($A$2:$A$293,MATCH(J149,$D$2:$D$293,0)),""))</f>
        <v/>
      </c>
      <c r="L149" s="14">
        <f>IF(E149&lt;&gt;"Kleine Anfrage","",IFERROR(INDEX($D$2:$D$293,MATCH(D149,$J$2:$J$293,0)),"offen"))</f>
        <v/>
      </c>
      <c r="M149" s="14" t="inlineStr">
        <is>
          <t>Werbung der Deutschen Bahn AG</t>
        </is>
      </c>
      <c r="N149" s="14" t="inlineStr">
        <is>
          <t>Bundesregierung</t>
        </is>
      </c>
      <c r="O149" s="16" t="inlineStr">
        <is>
          <t>PDF</t>
        </is>
      </c>
      <c r="P149" s="14" t="inlineStr">
        <is>
          <t>Linke</t>
        </is>
      </c>
      <c r="Q149" s="14" t="inlineStr"/>
      <c r="R149" s="14">
        <f>IF(COUNTIF(Abstimmungen!$B$5:$B$2000,D149)-COUNTIFS(Abstimmungen!$B$5:$B$2000,D149,Abstimmungen!$D$5:$D$2000,"*berweisung*")&gt;0,1,0)</f>
        <v/>
      </c>
    </row>
    <row r="150">
      <c r="A150" s="13" t="n">
        <v>45470</v>
      </c>
      <c r="B150" s="14">
        <f>IF(A150="","",YEAR(A150))</f>
        <v/>
      </c>
      <c r="C150" s="14">
        <f>IF(A150="","",YEAR(A150)&amp;"-Q"&amp;ROUNDUP(MONTH(A150)/3,0))</f>
        <v/>
      </c>
      <c r="D150" s="14" t="inlineStr">
        <is>
          <t>20/12025</t>
        </is>
      </c>
      <c r="E150" s="14" t="inlineStr">
        <is>
          <t>Kleine Anfrage</t>
        </is>
      </c>
      <c r="F150" s="14" t="inlineStr">
        <is>
          <t>CDU/CSU</t>
        </is>
      </c>
      <c r="G150" s="14" t="inlineStr">
        <is>
          <t>Opposition</t>
        </is>
      </c>
      <c r="H150" s="14" t="inlineStr">
        <is>
          <t>20</t>
        </is>
      </c>
      <c r="I150" s="14" t="inlineStr">
        <is>
          <t>Infrastruktur/Netz</t>
        </is>
      </c>
      <c r="J150" s="14" t="inlineStr"/>
      <c r="K150" s="15">
        <f>IF(OR(J150="",LEFT(E150,7)&lt;&gt;"Antwort"),"",IFERROR(A150-INDEX($A$2:$A$293,MATCH(J150,$D$2:$D$293,0)),""))</f>
        <v/>
      </c>
      <c r="L150" s="14">
        <f>IF(E150&lt;&gt;"Kleine Anfrage","",IFERROR(INDEX($D$2:$D$293,MATCH(D150,$J$2:$J$293,0)),"offen"))</f>
        <v/>
      </c>
      <c r="M150" s="14" t="inlineStr">
        <is>
          <t>Kapazitäten im Schienennetz rund um den Knotenpunkt Augsburg</t>
        </is>
      </c>
      <c r="N150" s="14" t="inlineStr">
        <is>
          <t>Fraktion der CDU/CSU</t>
        </is>
      </c>
      <c r="O150" s="16" t="inlineStr">
        <is>
          <t>PDF</t>
        </is>
      </c>
      <c r="P150" s="14" t="inlineStr"/>
      <c r="Q150" s="14" t="inlineStr"/>
      <c r="R150" s="14">
        <f>IF(COUNTIF(Abstimmungen!$B$5:$B$2000,D150)-COUNTIFS(Abstimmungen!$B$5:$B$2000,D150,Abstimmungen!$D$5:$D$2000,"*berweisung*")&gt;0,1,0)</f>
        <v/>
      </c>
    </row>
    <row r="151">
      <c r="A151" s="13" t="n">
        <v>45467</v>
      </c>
      <c r="B151" s="14">
        <f>IF(A151="","",YEAR(A151))</f>
        <v/>
      </c>
      <c r="C151" s="14">
        <f>IF(A151="","",YEAR(A151)&amp;"-Q"&amp;ROUNDUP(MONTH(A151)/3,0))</f>
        <v/>
      </c>
      <c r="D151" s="14" t="inlineStr">
        <is>
          <t>20/11923</t>
        </is>
      </c>
      <c r="E151" s="14" t="inlineStr">
        <is>
          <t>Kleine Anfrage</t>
        </is>
      </c>
      <c r="F151" s="14" t="inlineStr">
        <is>
          <t>AfD</t>
        </is>
      </c>
      <c r="G151" s="14" t="inlineStr">
        <is>
          <t>Opposition</t>
        </is>
      </c>
      <c r="H151" s="14" t="inlineStr">
        <is>
          <t>20</t>
        </is>
      </c>
      <c r="I151" s="14" t="inlineStr">
        <is>
          <t>Infrastruktur/Netz</t>
        </is>
      </c>
      <c r="J151" s="14" t="inlineStr"/>
      <c r="K151" s="15">
        <f>IF(OR(J151="",LEFT(E151,7)&lt;&gt;"Antwort"),"",IFERROR(A151-INDEX($A$2:$A$293,MATCH(J151,$D$2:$D$293,0)),""))</f>
        <v/>
      </c>
      <c r="L151" s="14">
        <f>IF(E151&lt;&gt;"Kleine Anfrage","",IFERROR(INDEX($D$2:$D$293,MATCH(D151,$J$2:$J$293,0)),"offen"))</f>
        <v/>
      </c>
      <c r="M151" s="14" t="inlineStr">
        <is>
          <t>Folgen nicht erteilter Ausnahmegenehmigungen für schwere Güterzüge auf Strecken des Schienennetzes in Thüringen</t>
        </is>
      </c>
      <c r="N151" s="14" t="inlineStr">
        <is>
          <t>Fraktion der AfD</t>
        </is>
      </c>
      <c r="O151" s="16" t="inlineStr">
        <is>
          <t>PDF</t>
        </is>
      </c>
      <c r="P151" s="14" t="inlineStr"/>
      <c r="Q151" s="14" t="inlineStr"/>
      <c r="R151" s="14">
        <f>IF(COUNTIF(Abstimmungen!$B$5:$B$2000,D151)-COUNTIFS(Abstimmungen!$B$5:$B$2000,D151,Abstimmungen!$D$5:$D$2000,"*berweisung*")&gt;0,1,0)</f>
        <v/>
      </c>
    </row>
    <row r="152">
      <c r="A152" s="13" t="n">
        <v>45446</v>
      </c>
      <c r="B152" s="14">
        <f>IF(A152="","",YEAR(A152))</f>
        <v/>
      </c>
      <c r="C152" s="14">
        <f>IF(A152="","",YEAR(A152)&amp;"-Q"&amp;ROUNDUP(MONTH(A152)/3,0))</f>
        <v/>
      </c>
      <c r="D152" s="14" t="inlineStr">
        <is>
          <t>20/11612</t>
        </is>
      </c>
      <c r="E152" s="14" t="inlineStr">
        <is>
          <t>Antwort</t>
        </is>
      </c>
      <c r="F152" s="14" t="inlineStr">
        <is>
          <t>Bundesregierung</t>
        </is>
      </c>
      <c r="G152" s="14" t="inlineStr">
        <is>
          <t>Regierung</t>
        </is>
      </c>
      <c r="H152" s="14" t="inlineStr">
        <is>
          <t>20</t>
        </is>
      </c>
      <c r="I152" s="14" t="inlineStr">
        <is>
          <t>Puenktlichkeit/Qualitaet; Konzernstruktur/DB AG</t>
        </is>
      </c>
      <c r="J152" s="14" t="inlineStr">
        <is>
          <t>20/11222</t>
        </is>
      </c>
      <c r="K152" s="15">
        <f>IF(OR(J152="",LEFT(E152,7)&lt;&gt;"Antwort"),"",IFERROR(A152-INDEX($A$2:$A$293,MATCH(J152,$D$2:$D$293,0)),""))</f>
        <v/>
      </c>
      <c r="L152" s="14">
        <f>IF(E152&lt;&gt;"Kleine Anfrage","",IFERROR(INDEX($D$2:$D$293,MATCH(D152,$J$2:$J$293,0)),"offen"))</f>
        <v/>
      </c>
      <c r="M152" s="14" t="inlineStr">
        <is>
          <t>Vegetationskontrolle entlang der Schienenwege des Bundes und Störungsmanagement durch die Deutsche Bahn AG</t>
        </is>
      </c>
      <c r="N152" s="14" t="inlineStr">
        <is>
          <t>Bundesregierung</t>
        </is>
      </c>
      <c r="O152" s="16" t="inlineStr">
        <is>
          <t>PDF</t>
        </is>
      </c>
      <c r="P152" s="14" t="inlineStr">
        <is>
          <t>CDU/CSU</t>
        </is>
      </c>
      <c r="Q152" s="14" t="inlineStr"/>
      <c r="R152" s="14">
        <f>IF(COUNTIF(Abstimmungen!$B$5:$B$2000,D152)-COUNTIFS(Abstimmungen!$B$5:$B$2000,D152,Abstimmungen!$D$5:$D$2000,"*berweisung*")&gt;0,1,0)</f>
        <v/>
      </c>
    </row>
    <row r="153">
      <c r="A153" s="13" t="n">
        <v>45443</v>
      </c>
      <c r="B153" s="14">
        <f>IF(A153="","",YEAR(A153))</f>
        <v/>
      </c>
      <c r="C153" s="14">
        <f>IF(A153="","",YEAR(A153)&amp;"-Q"&amp;ROUNDUP(MONTH(A153)/3,0))</f>
        <v/>
      </c>
      <c r="D153" s="14" t="inlineStr">
        <is>
          <t>20/11589</t>
        </is>
      </c>
      <c r="E153" s="14" t="inlineStr">
        <is>
          <t>Kleine Anfrage</t>
        </is>
      </c>
      <c r="F153" s="14" t="inlineStr">
        <is>
          <t>CDU/CSU</t>
        </is>
      </c>
      <c r="G153" s="14" t="inlineStr">
        <is>
          <t>Opposition</t>
        </is>
      </c>
      <c r="H153" s="14" t="inlineStr">
        <is>
          <t>20</t>
        </is>
      </c>
      <c r="I153" s="14" t="inlineStr">
        <is>
          <t>Sonstiges</t>
        </is>
      </c>
      <c r="J153" s="14" t="inlineStr"/>
      <c r="K153" s="15">
        <f>IF(OR(J153="",LEFT(E153,7)&lt;&gt;"Antwort"),"",IFERROR(A153-INDEX($A$2:$A$293,MATCH(J153,$D$2:$D$293,0)),""))</f>
        <v/>
      </c>
      <c r="L153" s="14">
        <f>IF(E153&lt;&gt;"Kleine Anfrage","",IFERROR(INDEX($D$2:$D$293,MATCH(D153,$J$2:$J$293,0)),"offen"))</f>
        <v/>
      </c>
      <c r="M153" s="14" t="inlineStr">
        <is>
          <t>Wettbewerb im Schienenverkehr</t>
        </is>
      </c>
      <c r="N153" s="14" t="inlineStr">
        <is>
          <t>Fraktion der CDU/CSU</t>
        </is>
      </c>
      <c r="O153" s="16" t="inlineStr">
        <is>
          <t>PDF</t>
        </is>
      </c>
      <c r="P153" s="14" t="inlineStr"/>
      <c r="Q153" s="14" t="inlineStr"/>
      <c r="R153" s="14">
        <f>IF(COUNTIF(Abstimmungen!$B$5:$B$2000,D153)-COUNTIFS(Abstimmungen!$B$5:$B$2000,D153,Abstimmungen!$D$5:$D$2000,"*berweisung*")&gt;0,1,0)</f>
        <v/>
      </c>
    </row>
    <row r="154">
      <c r="A154" s="13" t="n">
        <v>45439</v>
      </c>
      <c r="B154" s="14">
        <f>IF(A154="","",YEAR(A154))</f>
        <v/>
      </c>
      <c r="C154" s="14">
        <f>IF(A154="","",YEAR(A154)&amp;"-Q"&amp;ROUNDUP(MONTH(A154)/3,0))</f>
        <v/>
      </c>
      <c r="D154" s="14" t="inlineStr">
        <is>
          <t>20/11536</t>
        </is>
      </c>
      <c r="E154" s="14" t="inlineStr">
        <is>
          <t>Antwort</t>
        </is>
      </c>
      <c r="F154" s="14" t="inlineStr">
        <is>
          <t>Bundesregierung</t>
        </is>
      </c>
      <c r="G154" s="14" t="inlineStr">
        <is>
          <t>Regierung</t>
        </is>
      </c>
      <c r="H154" s="14" t="inlineStr">
        <is>
          <t>20</t>
        </is>
      </c>
      <c r="I154" s="14" t="inlineStr">
        <is>
          <t>Bahnhoefe; Sicherheit</t>
        </is>
      </c>
      <c r="J154" s="14" t="inlineStr">
        <is>
          <t>20/11285</t>
        </is>
      </c>
      <c r="K154" s="15">
        <f>IF(OR(J154="",LEFT(E154,7)&lt;&gt;"Antwort"),"",IFERROR(A154-INDEX($A$2:$A$293,MATCH(J154,$D$2:$D$293,0)),""))</f>
        <v/>
      </c>
      <c r="L154" s="14">
        <f>IF(E154&lt;&gt;"Kleine Anfrage","",IFERROR(INDEX($D$2:$D$293,MATCH(D154,$J$2:$J$293,0)),"offen"))</f>
        <v/>
      </c>
      <c r="M154" s="14" t="inlineStr">
        <is>
          <t>Bundesweite Maßnahmen zur Verbesserung der Sicherheit in Zügen und an Bahnhöfen</t>
        </is>
      </c>
      <c r="N154" s="14" t="inlineStr">
        <is>
          <t>Bundesregierung</t>
        </is>
      </c>
      <c r="O154" s="16" t="inlineStr">
        <is>
          <t>PDF</t>
        </is>
      </c>
      <c r="P154" s="14" t="inlineStr">
        <is>
          <t>AfD</t>
        </is>
      </c>
      <c r="Q154" s="14" t="inlineStr"/>
      <c r="R154" s="14">
        <f>IF(COUNTIF(Abstimmungen!$B$5:$B$2000,D154)-COUNTIFS(Abstimmungen!$B$5:$B$2000,D154,Abstimmungen!$D$5:$D$2000,"*berweisung*")&gt;0,1,0)</f>
        <v/>
      </c>
    </row>
    <row r="155">
      <c r="A155" s="13" t="n">
        <v>45435</v>
      </c>
      <c r="B155" s="14">
        <f>IF(A155="","",YEAR(A155))</f>
        <v/>
      </c>
      <c r="C155" s="14">
        <f>IF(A155="","",YEAR(A155)&amp;"-Q"&amp;ROUNDUP(MONTH(A155)/3,0))</f>
        <v/>
      </c>
      <c r="D155" s="14" t="inlineStr">
        <is>
          <t>20/11503</t>
        </is>
      </c>
      <c r="E155" s="14" t="inlineStr">
        <is>
          <t>Kleine Anfrage</t>
        </is>
      </c>
      <c r="F155" s="14" t="inlineStr">
        <is>
          <t>Linke</t>
        </is>
      </c>
      <c r="G155" s="14" t="inlineStr">
        <is>
          <t>Opposition</t>
        </is>
      </c>
      <c r="H155" s="14" t="inlineStr">
        <is>
          <t>20</t>
        </is>
      </c>
      <c r="I155" s="14" t="inlineStr">
        <is>
          <t>Sonstiges</t>
        </is>
      </c>
      <c r="J155" s="14" t="inlineStr"/>
      <c r="K155" s="15">
        <f>IF(OR(J155="",LEFT(E155,7)&lt;&gt;"Antwort"),"",IFERROR(A155-INDEX($A$2:$A$293,MATCH(J155,$D$2:$D$293,0)),""))</f>
        <v/>
      </c>
      <c r="L155" s="14">
        <f>IF(E155&lt;&gt;"Kleine Anfrage","",IFERROR(INDEX($D$2:$D$293,MATCH(D155,$J$2:$J$293,0)),"offen"))</f>
        <v/>
      </c>
      <c r="M155" s="14" t="inlineStr">
        <is>
          <t>Werbung der Deutschen Bahn AG</t>
        </is>
      </c>
      <c r="N155" s="14" t="inlineStr">
        <is>
          <t>Gruppe Die Linke</t>
        </is>
      </c>
      <c r="O155" s="16" t="inlineStr">
        <is>
          <t>PDF</t>
        </is>
      </c>
      <c r="P155" s="14" t="inlineStr"/>
      <c r="Q155" s="14" t="inlineStr"/>
      <c r="R155" s="14">
        <f>IF(COUNTIF(Abstimmungen!$B$5:$B$2000,D155)-COUNTIFS(Abstimmungen!$B$5:$B$2000,D155,Abstimmungen!$D$5:$D$2000,"*berweisung*")&gt;0,1,0)</f>
        <v/>
      </c>
    </row>
    <row r="156">
      <c r="A156" s="13" t="n">
        <v>45419</v>
      </c>
      <c r="B156" s="14">
        <f>IF(A156="","",YEAR(A156))</f>
        <v/>
      </c>
      <c r="C156" s="14">
        <f>IF(A156="","",YEAR(A156)&amp;"-Q"&amp;ROUNDUP(MONTH(A156)/3,0))</f>
        <v/>
      </c>
      <c r="D156" s="14" t="inlineStr">
        <is>
          <t>20/11285</t>
        </is>
      </c>
      <c r="E156" s="14" t="inlineStr">
        <is>
          <t>Kleine Anfrage</t>
        </is>
      </c>
      <c r="F156" s="14" t="inlineStr">
        <is>
          <t>AfD</t>
        </is>
      </c>
      <c r="G156" s="14" t="inlineStr">
        <is>
          <t>Opposition</t>
        </is>
      </c>
      <c r="H156" s="14" t="inlineStr">
        <is>
          <t>20</t>
        </is>
      </c>
      <c r="I156" s="14" t="inlineStr">
        <is>
          <t>Bahnhoefe; Sicherheit</t>
        </is>
      </c>
      <c r="J156" s="14" t="inlineStr"/>
      <c r="K156" s="15">
        <f>IF(OR(J156="",LEFT(E156,7)&lt;&gt;"Antwort"),"",IFERROR(A156-INDEX($A$2:$A$293,MATCH(J156,$D$2:$D$293,0)),""))</f>
        <v/>
      </c>
      <c r="L156" s="14">
        <f>IF(E156&lt;&gt;"Kleine Anfrage","",IFERROR(INDEX($D$2:$D$293,MATCH(D156,$J$2:$J$293,0)),"offen"))</f>
        <v/>
      </c>
      <c r="M156" s="14" t="inlineStr">
        <is>
          <t>Bundesweite Maßnahmen zur Verbesserung der Sicherheit in Zügen und an Bahnhöfen</t>
        </is>
      </c>
      <c r="N156" s="14" t="inlineStr">
        <is>
          <t>Fraktion der AfD</t>
        </is>
      </c>
      <c r="O156" s="16" t="inlineStr">
        <is>
          <t>PDF</t>
        </is>
      </c>
      <c r="P156" s="14" t="inlineStr"/>
      <c r="Q156" s="14" t="inlineStr"/>
      <c r="R156" s="14">
        <f>IF(COUNTIF(Abstimmungen!$B$5:$B$2000,D156)-COUNTIFS(Abstimmungen!$B$5:$B$2000,D156,Abstimmungen!$D$5:$D$2000,"*berweisung*")&gt;0,1,0)</f>
        <v/>
      </c>
    </row>
    <row r="157">
      <c r="A157" s="13" t="n">
        <v>45411</v>
      </c>
      <c r="B157" s="14">
        <f>IF(A157="","",YEAR(A157))</f>
        <v/>
      </c>
      <c r="C157" s="14">
        <f>IF(A157="","",YEAR(A157)&amp;"-Q"&amp;ROUNDUP(MONTH(A157)/3,0))</f>
        <v/>
      </c>
      <c r="D157" s="14" t="inlineStr">
        <is>
          <t>20/11222</t>
        </is>
      </c>
      <c r="E157" s="14" t="inlineStr">
        <is>
          <t>Kleine Anfrage</t>
        </is>
      </c>
      <c r="F157" s="14" t="inlineStr">
        <is>
          <t>CDU/CSU</t>
        </is>
      </c>
      <c r="G157" s="14" t="inlineStr">
        <is>
          <t>Opposition</t>
        </is>
      </c>
      <c r="H157" s="14" t="inlineStr">
        <is>
          <t>20</t>
        </is>
      </c>
      <c r="I157" s="14" t="inlineStr">
        <is>
          <t>Puenktlichkeit/Qualitaet; Konzernstruktur/DB AG</t>
        </is>
      </c>
      <c r="J157" s="14" t="inlineStr"/>
      <c r="K157" s="15">
        <f>IF(OR(J157="",LEFT(E157,7)&lt;&gt;"Antwort"),"",IFERROR(A157-INDEX($A$2:$A$293,MATCH(J157,$D$2:$D$293,0)),""))</f>
        <v/>
      </c>
      <c r="L157" s="14">
        <f>IF(E157&lt;&gt;"Kleine Anfrage","",IFERROR(INDEX($D$2:$D$293,MATCH(D157,$J$2:$J$293,0)),"offen"))</f>
        <v/>
      </c>
      <c r="M157" s="14" t="inlineStr">
        <is>
          <t>Vegetationskontrolle entlang der Schienenwege des Bundes und Störungsmanagement durch die Deutsche Bahn AG</t>
        </is>
      </c>
      <c r="N157" s="14" t="inlineStr">
        <is>
          <t>Fraktion der CDU/CSU</t>
        </is>
      </c>
      <c r="O157" s="16" t="inlineStr">
        <is>
          <t>PDF</t>
        </is>
      </c>
      <c r="P157" s="14" t="inlineStr"/>
      <c r="Q157" s="14" t="inlineStr"/>
      <c r="R157" s="14">
        <f>IF(COUNTIF(Abstimmungen!$B$5:$B$2000,D157)-COUNTIFS(Abstimmungen!$B$5:$B$2000,D157,Abstimmungen!$D$5:$D$2000,"*berweisung*")&gt;0,1,0)</f>
        <v/>
      </c>
    </row>
    <row r="158">
      <c r="A158" s="13" t="n">
        <v>45394</v>
      </c>
      <c r="B158" s="14">
        <f>IF(A158="","",YEAR(A158))</f>
        <v/>
      </c>
      <c r="C158" s="14">
        <f>IF(A158="","",YEAR(A158)&amp;"-Q"&amp;ROUNDUP(MONTH(A158)/3,0))</f>
        <v/>
      </c>
      <c r="D158" s="14" t="inlineStr">
        <is>
          <t>20/11074</t>
        </is>
      </c>
      <c r="E158" s="14" t="inlineStr">
        <is>
          <t>Antwort</t>
        </is>
      </c>
      <c r="F158" s="14" t="inlineStr">
        <is>
          <t>Bundesregierung</t>
        </is>
      </c>
      <c r="G158" s="14" t="inlineStr">
        <is>
          <t>Regierung</t>
        </is>
      </c>
      <c r="H158" s="14" t="inlineStr">
        <is>
          <t>20</t>
        </is>
      </c>
      <c r="I158" s="14" t="inlineStr">
        <is>
          <t>Bahnhoefe; Kriminalitaet</t>
        </is>
      </c>
      <c r="J158" s="14" t="inlineStr">
        <is>
          <t>20/10877</t>
        </is>
      </c>
      <c r="K158" s="15">
        <f>IF(OR(J158="",LEFT(E158,7)&lt;&gt;"Antwort"),"",IFERROR(A158-INDEX($A$2:$A$293,MATCH(J158,$D$2:$D$293,0)),""))</f>
        <v/>
      </c>
      <c r="L158" s="14">
        <f>IF(E158&lt;&gt;"Kleine Anfrage","",IFERROR(INDEX($D$2:$D$293,MATCH(D158,$J$2:$J$293,0)),"offen"))</f>
        <v/>
      </c>
      <c r="M158" s="14" t="inlineStr">
        <is>
          <t>Kriminalitätsfelder in Bezug auf Bahnhöfe im Saarland im Jahr 2023</t>
        </is>
      </c>
      <c r="N158" s="14" t="inlineStr">
        <is>
          <t>Bundesregierung</t>
        </is>
      </c>
      <c r="O158" s="16" t="inlineStr">
        <is>
          <t>PDF</t>
        </is>
      </c>
      <c r="P158" s="14" t="inlineStr">
        <is>
          <t>AfD</t>
        </is>
      </c>
      <c r="Q158" s="14" t="inlineStr"/>
      <c r="R158" s="14">
        <f>IF(COUNTIF(Abstimmungen!$B$5:$B$2000,D158)-COUNTIFS(Abstimmungen!$B$5:$B$2000,D158,Abstimmungen!$D$5:$D$2000,"*berweisung*")&gt;0,1,0)</f>
        <v/>
      </c>
    </row>
    <row r="159">
      <c r="A159" s="13" t="n">
        <v>45379</v>
      </c>
      <c r="B159" s="14">
        <f>IF(A159="","",YEAR(A159))</f>
        <v/>
      </c>
      <c r="C159" s="14">
        <f>IF(A159="","",YEAR(A159)&amp;"-Q"&amp;ROUNDUP(MONTH(A159)/3,0))</f>
        <v/>
      </c>
      <c r="D159" s="14" t="inlineStr">
        <is>
          <t>20/10877</t>
        </is>
      </c>
      <c r="E159" s="14" t="inlineStr">
        <is>
          <t>Kleine Anfrage</t>
        </is>
      </c>
      <c r="F159" s="14" t="inlineStr">
        <is>
          <t>AfD</t>
        </is>
      </c>
      <c r="G159" s="14" t="inlineStr">
        <is>
          <t>Opposition</t>
        </is>
      </c>
      <c r="H159" s="14" t="inlineStr">
        <is>
          <t>20</t>
        </is>
      </c>
      <c r="I159" s="14" t="inlineStr">
        <is>
          <t>Bahnhoefe; Kriminalitaet</t>
        </is>
      </c>
      <c r="J159" s="14" t="inlineStr"/>
      <c r="K159" s="15">
        <f>IF(OR(J159="",LEFT(E159,7)&lt;&gt;"Antwort"),"",IFERROR(A159-INDEX($A$2:$A$293,MATCH(J159,$D$2:$D$293,0)),""))</f>
        <v/>
      </c>
      <c r="L159" s="14">
        <f>IF(E159&lt;&gt;"Kleine Anfrage","",IFERROR(INDEX($D$2:$D$293,MATCH(D159,$J$2:$J$293,0)),"offen"))</f>
        <v/>
      </c>
      <c r="M159" s="14" t="inlineStr">
        <is>
          <t>Kriminalitätsfelder in Bezug auf Bahnhöfe im Saarland im Jahr 2023</t>
        </is>
      </c>
      <c r="N159" s="14" t="inlineStr">
        <is>
          <t>Fraktion der AfD</t>
        </is>
      </c>
      <c r="O159" s="16" t="inlineStr">
        <is>
          <t>PDF</t>
        </is>
      </c>
      <c r="P159" s="14" t="inlineStr"/>
      <c r="Q159" s="14" t="inlineStr">
        <is>
          <t>Bahnhöfe / Kriminalitätsfelder</t>
        </is>
      </c>
      <c r="R159" s="14">
        <f>IF(COUNTIF(Abstimmungen!$B$5:$B$2000,D159)-COUNTIFS(Abstimmungen!$B$5:$B$2000,D159,Abstimmungen!$D$5:$D$2000,"*berweisung*")&gt;0,1,0)</f>
        <v/>
      </c>
    </row>
    <row r="160">
      <c r="A160" s="13" t="n">
        <v>45372</v>
      </c>
      <c r="B160" s="14">
        <f>IF(A160="","",YEAR(A160))</f>
        <v/>
      </c>
      <c r="C160" s="14">
        <f>IF(A160="","",YEAR(A160)&amp;"-Q"&amp;ROUNDUP(MONTH(A160)/3,0))</f>
        <v/>
      </c>
      <c r="D160" s="14" t="inlineStr">
        <is>
          <t>20/10778</t>
        </is>
      </c>
      <c r="E160" s="14" t="inlineStr">
        <is>
          <t>Antwort</t>
        </is>
      </c>
      <c r="F160" s="14" t="inlineStr">
        <is>
          <t>Bundesregierung</t>
        </is>
      </c>
      <c r="G160" s="14" t="inlineStr">
        <is>
          <t>Regierung</t>
        </is>
      </c>
      <c r="H160" s="14" t="inlineStr">
        <is>
          <t>20</t>
        </is>
      </c>
      <c r="I160" s="14" t="inlineStr">
        <is>
          <t>Bahnhoefe; Kriminalitaet</t>
        </is>
      </c>
      <c r="J160" s="14" t="inlineStr">
        <is>
          <t>20/10566</t>
        </is>
      </c>
      <c r="K160" s="15">
        <f>IF(OR(J160="",LEFT(E160,7)&lt;&gt;"Antwort"),"",IFERROR(A160-INDEX($A$2:$A$293,MATCH(J160,$D$2:$D$293,0)),""))</f>
        <v/>
      </c>
      <c r="L160" s="14">
        <f>IF(E160&lt;&gt;"Kleine Anfrage","",IFERROR(INDEX($D$2:$D$293,MATCH(D160,$J$2:$J$293,0)),"offen"))</f>
        <v/>
      </c>
      <c r="M160" s="14" t="inlineStr">
        <is>
          <t>Straftaten an Thüringer Bahnhöfen und Flughäfen in dem Jahr 2023</t>
        </is>
      </c>
      <c r="N160" s="14" t="inlineStr">
        <is>
          <t>Bundesregierung</t>
        </is>
      </c>
      <c r="O160" s="16" t="inlineStr">
        <is>
          <t>PDF</t>
        </is>
      </c>
      <c r="P160" s="14" t="inlineStr">
        <is>
          <t>AfD</t>
        </is>
      </c>
      <c r="Q160" s="14" t="inlineStr"/>
      <c r="R160" s="14">
        <f>IF(COUNTIF(Abstimmungen!$B$5:$B$2000,D160)-COUNTIFS(Abstimmungen!$B$5:$B$2000,D160,Abstimmungen!$D$5:$D$2000,"*berweisung*")&gt;0,1,0)</f>
        <v/>
      </c>
    </row>
    <row r="161">
      <c r="A161" s="13" t="n">
        <v>45357</v>
      </c>
      <c r="B161" s="14">
        <f>IF(A161="","",YEAR(A161))</f>
        <v/>
      </c>
      <c r="C161" s="14">
        <f>IF(A161="","",YEAR(A161)&amp;"-Q"&amp;ROUNDUP(MONTH(A161)/3,0))</f>
        <v/>
      </c>
      <c r="D161" s="14" t="inlineStr">
        <is>
          <t>20/10566</t>
        </is>
      </c>
      <c r="E161" s="14" t="inlineStr">
        <is>
          <t>Kleine Anfrage</t>
        </is>
      </c>
      <c r="F161" s="14" t="inlineStr">
        <is>
          <t>AfD</t>
        </is>
      </c>
      <c r="G161" s="14" t="inlineStr">
        <is>
          <t>Opposition</t>
        </is>
      </c>
      <c r="H161" s="14" t="inlineStr">
        <is>
          <t>20</t>
        </is>
      </c>
      <c r="I161" s="14" t="inlineStr">
        <is>
          <t>Bahnhoefe; Kriminalitaet</t>
        </is>
      </c>
      <c r="J161" s="14" t="inlineStr"/>
      <c r="K161" s="15">
        <f>IF(OR(J161="",LEFT(E161,7)&lt;&gt;"Antwort"),"",IFERROR(A161-INDEX($A$2:$A$293,MATCH(J161,$D$2:$D$293,0)),""))</f>
        <v/>
      </c>
      <c r="L161" s="14">
        <f>IF(E161&lt;&gt;"Kleine Anfrage","",IFERROR(INDEX($D$2:$D$293,MATCH(D161,$J$2:$J$293,0)),"offen"))</f>
        <v/>
      </c>
      <c r="M161" s="14" t="inlineStr">
        <is>
          <t>Straftaten an Thüringer Bahnhöfen und Flughäfen in dem Jahr 2023</t>
        </is>
      </c>
      <c r="N161" s="14" t="inlineStr">
        <is>
          <t>Fraktion der AfD</t>
        </is>
      </c>
      <c r="O161" s="16" t="inlineStr">
        <is>
          <t>PDF</t>
        </is>
      </c>
      <c r="P161" s="14" t="inlineStr"/>
      <c r="Q161" s="14" t="inlineStr">
        <is>
          <t>Bahnhöfen / Straftaten</t>
        </is>
      </c>
      <c r="R161" s="14">
        <f>IF(COUNTIF(Abstimmungen!$B$5:$B$2000,D161)-COUNTIFS(Abstimmungen!$B$5:$B$2000,D161,Abstimmungen!$D$5:$D$2000,"*berweisung*")&gt;0,1,0)</f>
        <v/>
      </c>
    </row>
    <row r="162">
      <c r="A162" s="13" t="n">
        <v>45345</v>
      </c>
      <c r="B162" s="14">
        <f>IF(A162="","",YEAR(A162))</f>
        <v/>
      </c>
      <c r="C162" s="14">
        <f>IF(A162="","",YEAR(A162)&amp;"-Q"&amp;ROUNDUP(MONTH(A162)/3,0))</f>
        <v/>
      </c>
      <c r="D162" s="14" t="inlineStr">
        <is>
          <t>20/10472</t>
        </is>
      </c>
      <c r="E162" s="14" t="inlineStr">
        <is>
          <t>Antwort</t>
        </is>
      </c>
      <c r="F162" s="14" t="inlineStr">
        <is>
          <t>Bundesregierung</t>
        </is>
      </c>
      <c r="G162" s="14" t="inlineStr">
        <is>
          <t>Regierung</t>
        </is>
      </c>
      <c r="H162" s="14" t="inlineStr">
        <is>
          <t>20</t>
        </is>
      </c>
      <c r="I162" s="14" t="inlineStr">
        <is>
          <t>Bahnhoefe; Kriminalitaet</t>
        </is>
      </c>
      <c r="J162" s="14" t="inlineStr">
        <is>
          <t>20/10256</t>
        </is>
      </c>
      <c r="K162" s="15">
        <f>IF(OR(J162="",LEFT(E162,7)&lt;&gt;"Antwort"),"",IFERROR(A162-INDEX($A$2:$A$293,MATCH(J162,$D$2:$D$293,0)),""))</f>
        <v/>
      </c>
      <c r="L162" s="14">
        <f>IF(E162&lt;&gt;"Kleine Anfrage","",IFERROR(INDEX($D$2:$D$293,MATCH(D162,$J$2:$J$293,0)),"offen"))</f>
        <v/>
      </c>
      <c r="M162" s="14" t="inlineStr">
        <is>
          <t>Kriminalitätsfelder in Bezug auf Bahnhöfe in Baden-Württemberg im zweiten Halbjahr 2023 und Gesamtjahr 2023</t>
        </is>
      </c>
      <c r="N162" s="14" t="inlineStr">
        <is>
          <t>Bundesregierung</t>
        </is>
      </c>
      <c r="O162" s="16" t="inlineStr">
        <is>
          <t>PDF</t>
        </is>
      </c>
      <c r="P162" s="14" t="inlineStr">
        <is>
          <t>AfD</t>
        </is>
      </c>
      <c r="Q162" s="14" t="inlineStr"/>
      <c r="R162" s="14">
        <f>IF(COUNTIF(Abstimmungen!$B$5:$B$2000,D162)-COUNTIFS(Abstimmungen!$B$5:$B$2000,D162,Abstimmungen!$D$5:$D$2000,"*berweisung*")&gt;0,1,0)</f>
        <v/>
      </c>
    </row>
    <row r="163">
      <c r="A163" s="13" t="n">
        <v>45344</v>
      </c>
      <c r="B163" s="14">
        <f>IF(A163="","",YEAR(A163))</f>
        <v/>
      </c>
      <c r="C163" s="14">
        <f>IF(A163="","",YEAR(A163)&amp;"-Q"&amp;ROUNDUP(MONTH(A163)/3,0))</f>
        <v/>
      </c>
      <c r="D163" s="14" t="inlineStr">
        <is>
          <t>20/10457</t>
        </is>
      </c>
      <c r="E163" s="14" t="inlineStr">
        <is>
          <t>Antwort</t>
        </is>
      </c>
      <c r="F163" s="14" t="inlineStr">
        <is>
          <t>Bundesregierung</t>
        </is>
      </c>
      <c r="G163" s="14" t="inlineStr">
        <is>
          <t>Regierung</t>
        </is>
      </c>
      <c r="H163" s="14" t="inlineStr">
        <is>
          <t>20</t>
        </is>
      </c>
      <c r="I163" s="14" t="inlineStr">
        <is>
          <t>Bahnhoefe; Kriminalitaet</t>
        </is>
      </c>
      <c r="J163" s="14" t="inlineStr">
        <is>
          <t>20/10309</t>
        </is>
      </c>
      <c r="K163" s="15">
        <f>IF(OR(J163="",LEFT(E163,7)&lt;&gt;"Antwort"),"",IFERROR(A163-INDEX($A$2:$A$293,MATCH(J163,$D$2:$D$293,0)),""))</f>
        <v/>
      </c>
      <c r="L163" s="14">
        <f>IF(E163&lt;&gt;"Kleine Anfrage","",IFERROR(INDEX($D$2:$D$293,MATCH(D163,$J$2:$J$293,0)),"offen"))</f>
        <v/>
      </c>
      <c r="M163" s="14" t="inlineStr">
        <is>
          <t>Kriminalitätsfelder in Bezug auf Bahnhöfe und Züge im zweiten Halbjahr 2023 und im Gesamtjahr 2023</t>
        </is>
      </c>
      <c r="N163" s="14" t="inlineStr">
        <is>
          <t>Bundesregierung</t>
        </is>
      </c>
      <c r="O163" s="16" t="inlineStr">
        <is>
          <t>PDF</t>
        </is>
      </c>
      <c r="P163" s="14" t="inlineStr">
        <is>
          <t>AfD</t>
        </is>
      </c>
      <c r="Q163" s="14" t="inlineStr"/>
      <c r="R163" s="14">
        <f>IF(COUNTIF(Abstimmungen!$B$5:$B$2000,D163)-COUNTIFS(Abstimmungen!$B$5:$B$2000,D163,Abstimmungen!$D$5:$D$2000,"*berweisung*")&gt;0,1,0)</f>
        <v/>
      </c>
    </row>
    <row r="164">
      <c r="A164" s="13" t="n">
        <v>45343</v>
      </c>
      <c r="B164" s="14">
        <f>IF(A164="","",YEAR(A164))</f>
        <v/>
      </c>
      <c r="C164" s="14">
        <f>IF(A164="","",YEAR(A164)&amp;"-Q"&amp;ROUNDUP(MONTH(A164)/3,0))</f>
        <v/>
      </c>
      <c r="D164" s="14" t="inlineStr">
        <is>
          <t>20/10413</t>
        </is>
      </c>
      <c r="E164" s="14" t="inlineStr">
        <is>
          <t>Beschlussempfehlung und Bericht</t>
        </is>
      </c>
      <c r="F164" s="14" t="inlineStr">
        <is>
          <t>Verkehrsausschuss</t>
        </is>
      </c>
      <c r="G164" s="14" t="inlineStr">
        <is>
          <t>Ausschuss</t>
        </is>
      </c>
      <c r="H164" s="14" t="inlineStr">
        <is>
          <t>20</t>
        </is>
      </c>
      <c r="I164" s="14" t="inlineStr">
        <is>
          <t>Konzernstruktur/DB AG</t>
        </is>
      </c>
      <c r="J164" s="14" t="inlineStr">
        <is>
          <t>20/7350</t>
        </is>
      </c>
      <c r="K164" s="15">
        <f>IF(OR(J164="",LEFT(E164,7)&lt;&gt;"Antwort"),"",IFERROR(A164-INDEX($A$2:$A$293,MATCH(J164,$D$2:$D$293,0)),""))</f>
        <v/>
      </c>
      <c r="L164" s="14">
        <f>IF(E164&lt;&gt;"Kleine Anfrage","",IFERROR(INDEX($D$2:$D$293,MATCH(D164,$J$2:$J$293,0)),"offen"))</f>
        <v/>
      </c>
      <c r="M164" s="14" t="inlineStr">
        <is>
          <t>Schiene in die Zukunft führen - Deutsche Bahn AG neu aufstellen</t>
        </is>
      </c>
      <c r="N164" s="14" t="inlineStr">
        <is>
          <t>Verkehrsausschuss</t>
        </is>
      </c>
      <c r="O164" s="16" t="inlineStr">
        <is>
          <t>PDF</t>
        </is>
      </c>
      <c r="P164" s="14" t="inlineStr"/>
      <c r="Q164" s="14" t="inlineStr"/>
      <c r="R164" s="14">
        <f>IF(COUNTIF(Abstimmungen!$B$5:$B$2000,D164)-COUNTIFS(Abstimmungen!$B$5:$B$2000,D164,Abstimmungen!$D$5:$D$2000,"*berweisung*")&gt;0,1,0)</f>
        <v/>
      </c>
    </row>
    <row r="165">
      <c r="A165" s="13" t="n">
        <v>45341</v>
      </c>
      <c r="B165" s="14">
        <f>IF(A165="","",YEAR(A165))</f>
        <v/>
      </c>
      <c r="C165" s="14">
        <f>IF(A165="","",YEAR(A165)&amp;"-Q"&amp;ROUNDUP(MONTH(A165)/3,0))</f>
        <v/>
      </c>
      <c r="D165" s="14" t="inlineStr">
        <is>
          <t>20/10356</t>
        </is>
      </c>
      <c r="E165" s="14" t="inlineStr">
        <is>
          <t>Antwort</t>
        </is>
      </c>
      <c r="F165" s="14" t="inlineStr">
        <is>
          <t>Bundesregierung</t>
        </is>
      </c>
      <c r="G165" s="14" t="inlineStr">
        <is>
          <t>Regierung</t>
        </is>
      </c>
      <c r="H165" s="14" t="inlineStr">
        <is>
          <t>20</t>
        </is>
      </c>
      <c r="I165" s="14" t="inlineStr">
        <is>
          <t>Puenktlichkeit/Qualitaet</t>
        </is>
      </c>
      <c r="J165" s="14" t="inlineStr">
        <is>
          <t>20/10086</t>
        </is>
      </c>
      <c r="K165" s="15">
        <f>IF(OR(J165="",LEFT(E165,7)&lt;&gt;"Antwort"),"",IFERROR(A165-INDEX($A$2:$A$293,MATCH(J165,$D$2:$D$293,0)),""))</f>
        <v/>
      </c>
      <c r="L165" s="14">
        <f>IF(E165&lt;&gt;"Kleine Anfrage","",IFERROR(INDEX($D$2:$D$293,MATCH(D165,$J$2:$J$293,0)),"offen"))</f>
        <v/>
      </c>
      <c r="M165" s="14" t="inlineStr">
        <is>
          <t>Kosten durch Zugverspätungen und Zugausfälle bei der Deutschen Bahn AG</t>
        </is>
      </c>
      <c r="N165" s="14" t="inlineStr">
        <is>
          <t>Bundesregierung</t>
        </is>
      </c>
      <c r="O165" s="16" t="inlineStr">
        <is>
          <t>PDF</t>
        </is>
      </c>
      <c r="P165" s="14" t="inlineStr">
        <is>
          <t>CDU/CSU</t>
        </is>
      </c>
      <c r="Q165" s="14" t="inlineStr"/>
      <c r="R165" s="14">
        <f>IF(COUNTIF(Abstimmungen!$B$5:$B$2000,D165)-COUNTIFS(Abstimmungen!$B$5:$B$2000,D165,Abstimmungen!$D$5:$D$2000,"*berweisung*")&gt;0,1,0)</f>
        <v/>
      </c>
    </row>
    <row r="166">
      <c r="A166" s="13" t="n">
        <v>45335</v>
      </c>
      <c r="B166" s="14">
        <f>IF(A166="","",YEAR(A166))</f>
        <v/>
      </c>
      <c r="C166" s="14">
        <f>IF(A166="","",YEAR(A166)&amp;"-Q"&amp;ROUNDUP(MONTH(A166)/3,0))</f>
        <v/>
      </c>
      <c r="D166" s="14" t="inlineStr">
        <is>
          <t>20/10309</t>
        </is>
      </c>
      <c r="E166" s="14" t="inlineStr">
        <is>
          <t>Kleine Anfrage</t>
        </is>
      </c>
      <c r="F166" s="14" t="inlineStr">
        <is>
          <t>AfD</t>
        </is>
      </c>
      <c r="G166" s="14" t="inlineStr">
        <is>
          <t>Opposition</t>
        </is>
      </c>
      <c r="H166" s="14" t="inlineStr">
        <is>
          <t>20</t>
        </is>
      </c>
      <c r="I166" s="14" t="inlineStr">
        <is>
          <t>Bahnhoefe; Kriminalitaet</t>
        </is>
      </c>
      <c r="J166" s="14" t="inlineStr"/>
      <c r="K166" s="15">
        <f>IF(OR(J166="",LEFT(E166,7)&lt;&gt;"Antwort"),"",IFERROR(A166-INDEX($A$2:$A$293,MATCH(J166,$D$2:$D$293,0)),""))</f>
        <v/>
      </c>
      <c r="L166" s="14">
        <f>IF(E166&lt;&gt;"Kleine Anfrage","",IFERROR(INDEX($D$2:$D$293,MATCH(D166,$J$2:$J$293,0)),"offen"))</f>
        <v/>
      </c>
      <c r="M166" s="14" t="inlineStr">
        <is>
          <t>Kriminalitätsfelder in Bezug auf Bahnhöfe und Züge im zweiten Halbjahr 2023 und im Gesamtjahr 2023</t>
        </is>
      </c>
      <c r="N166" s="14" t="inlineStr">
        <is>
          <t>Fraktion der AfD</t>
        </is>
      </c>
      <c r="O166" s="16" t="inlineStr">
        <is>
          <t>PDF</t>
        </is>
      </c>
      <c r="P166" s="14" t="inlineStr"/>
      <c r="Q166" s="14" t="inlineStr">
        <is>
          <t>Bahnhöfe / Kriminalitätsfelder</t>
        </is>
      </c>
      <c r="R166" s="14">
        <f>IF(COUNTIF(Abstimmungen!$B$5:$B$2000,D166)-COUNTIFS(Abstimmungen!$B$5:$B$2000,D166,Abstimmungen!$D$5:$D$2000,"*berweisung*")&gt;0,1,0)</f>
        <v/>
      </c>
    </row>
    <row r="167">
      <c r="A167" s="13" t="n">
        <v>45329</v>
      </c>
      <c r="B167" s="14">
        <f>IF(A167="","",YEAR(A167))</f>
        <v/>
      </c>
      <c r="C167" s="14">
        <f>IF(A167="","",YEAR(A167)&amp;"-Q"&amp;ROUNDUP(MONTH(A167)/3,0))</f>
        <v/>
      </c>
      <c r="D167" s="14" t="inlineStr">
        <is>
          <t>20/10284</t>
        </is>
      </c>
      <c r="E167" s="14" t="inlineStr">
        <is>
          <t>Antwort</t>
        </is>
      </c>
      <c r="F167" s="14" t="inlineStr">
        <is>
          <t>Bundesregierung</t>
        </is>
      </c>
      <c r="G167" s="14" t="inlineStr">
        <is>
          <t>Regierung</t>
        </is>
      </c>
      <c r="H167" s="14" t="inlineStr">
        <is>
          <t>20</t>
        </is>
      </c>
      <c r="I167" s="14" t="inlineStr">
        <is>
          <t>Sonstiges</t>
        </is>
      </c>
      <c r="J167" s="14" t="inlineStr">
        <is>
          <t>20/10023</t>
        </is>
      </c>
      <c r="K167" s="15">
        <f>IF(OR(J167="",LEFT(E167,7)&lt;&gt;"Antwort"),"",IFERROR(A167-INDEX($A$2:$A$293,MATCH(J167,$D$2:$D$293,0)),""))</f>
        <v/>
      </c>
      <c r="L167" s="14">
        <f>IF(E167&lt;&gt;"Kleine Anfrage","",IFERROR(INDEX($D$2:$D$293,MATCH(D167,$J$2:$J$293,0)),"offen"))</f>
        <v/>
      </c>
      <c r="M167" s="14" t="inlineStr">
        <is>
          <t>Steuerung der Deutschen Bahn AG</t>
        </is>
      </c>
      <c r="N167" s="14" t="inlineStr">
        <is>
          <t>Bundesregierung</t>
        </is>
      </c>
      <c r="O167" s="16" t="inlineStr">
        <is>
          <t>PDF</t>
        </is>
      </c>
      <c r="P167" s="14" t="inlineStr">
        <is>
          <t>CDU/CSU</t>
        </is>
      </c>
      <c r="Q167" s="14" t="inlineStr"/>
      <c r="R167" s="14">
        <f>IF(COUNTIF(Abstimmungen!$B$5:$B$2000,D167)-COUNTIFS(Abstimmungen!$B$5:$B$2000,D167,Abstimmungen!$D$5:$D$2000,"*berweisung*")&gt;0,1,0)</f>
        <v/>
      </c>
    </row>
    <row r="168">
      <c r="A168" s="13" t="n">
        <v>45327</v>
      </c>
      <c r="B168" s="14">
        <f>IF(A168="","",YEAR(A168))</f>
        <v/>
      </c>
      <c r="C168" s="14">
        <f>IF(A168="","",YEAR(A168)&amp;"-Q"&amp;ROUNDUP(MONTH(A168)/3,0))</f>
        <v/>
      </c>
      <c r="D168" s="14" t="inlineStr">
        <is>
          <t>20/10256</t>
        </is>
      </c>
      <c r="E168" s="14" t="inlineStr">
        <is>
          <t>Kleine Anfrage</t>
        </is>
      </c>
      <c r="F168" s="14" t="inlineStr">
        <is>
          <t>AfD</t>
        </is>
      </c>
      <c r="G168" s="14" t="inlineStr">
        <is>
          <t>Opposition</t>
        </is>
      </c>
      <c r="H168" s="14" t="inlineStr">
        <is>
          <t>20</t>
        </is>
      </c>
      <c r="I168" s="14" t="inlineStr">
        <is>
          <t>Bahnhoefe; Kriminalitaet</t>
        </is>
      </c>
      <c r="J168" s="14" t="inlineStr"/>
      <c r="K168" s="15">
        <f>IF(OR(J168="",LEFT(E168,7)&lt;&gt;"Antwort"),"",IFERROR(A168-INDEX($A$2:$A$293,MATCH(J168,$D$2:$D$293,0)),""))</f>
        <v/>
      </c>
      <c r="L168" s="14">
        <f>IF(E168&lt;&gt;"Kleine Anfrage","",IFERROR(INDEX($D$2:$D$293,MATCH(D168,$J$2:$J$293,0)),"offen"))</f>
        <v/>
      </c>
      <c r="M168" s="14" t="inlineStr">
        <is>
          <t>Kriminalitätsfelder in Bezug auf Bahnhöfe in Baden-Württemberg im zweiten Halbjahr 2023 und Gesamtjahr 2023</t>
        </is>
      </c>
      <c r="N168" s="14" t="inlineStr">
        <is>
          <t>Fraktion der AfD</t>
        </is>
      </c>
      <c r="O168" s="16" t="inlineStr">
        <is>
          <t>PDF</t>
        </is>
      </c>
      <c r="P168" s="14" t="inlineStr"/>
      <c r="Q168" s="14" t="inlineStr">
        <is>
          <t>Bahnhöfe / Kriminalitätsfelder</t>
        </is>
      </c>
      <c r="R168" s="14">
        <f>IF(COUNTIF(Abstimmungen!$B$5:$B$2000,D168)-COUNTIFS(Abstimmungen!$B$5:$B$2000,D168,Abstimmungen!$D$5:$D$2000,"*berweisung*")&gt;0,1,0)</f>
        <v/>
      </c>
    </row>
    <row r="169">
      <c r="A169" s="13" t="n">
        <v>45315</v>
      </c>
      <c r="B169" s="14">
        <f>IF(A169="","",YEAR(A169))</f>
        <v/>
      </c>
      <c r="C169" s="14">
        <f>IF(A169="","",YEAR(A169)&amp;"-Q"&amp;ROUNDUP(MONTH(A169)/3,0))</f>
        <v/>
      </c>
      <c r="D169" s="14" t="inlineStr">
        <is>
          <t>20/10158</t>
        </is>
      </c>
      <c r="E169" s="14" t="inlineStr">
        <is>
          <t>Antwort</t>
        </is>
      </c>
      <c r="F169" s="14" t="inlineStr">
        <is>
          <t>Bundesregierung</t>
        </is>
      </c>
      <c r="G169" s="14" t="inlineStr">
        <is>
          <t>Regierung</t>
        </is>
      </c>
      <c r="H169" s="14" t="inlineStr">
        <is>
          <t>20</t>
        </is>
      </c>
      <c r="I169" s="14" t="inlineStr">
        <is>
          <t>Konzernstruktur/DB AG</t>
        </is>
      </c>
      <c r="J169" s="14" t="inlineStr">
        <is>
          <t>20/9921</t>
        </is>
      </c>
      <c r="K169" s="15">
        <f>IF(OR(J169="",LEFT(E169,7)&lt;&gt;"Antwort"),"",IFERROR(A169-INDEX($A$2:$A$293,MATCH(J169,$D$2:$D$293,0)),""))</f>
        <v/>
      </c>
      <c r="L169" s="14">
        <f>IF(E169&lt;&gt;"Kleine Anfrage","",IFERROR(INDEX($D$2:$D$293,MATCH(D169,$J$2:$J$293,0)),"offen"))</f>
        <v/>
      </c>
      <c r="M169" s="14" t="inlineStr">
        <is>
          <t>Verschmelzungsvertrag zur Gründung der Deutsche Bahn InfraGO AG</t>
        </is>
      </c>
      <c r="N169" s="14" t="inlineStr">
        <is>
          <t>Bundesregierung</t>
        </is>
      </c>
      <c r="O169" s="16" t="inlineStr">
        <is>
          <t>PDF</t>
        </is>
      </c>
      <c r="P169" s="14" t="inlineStr">
        <is>
          <t>CDU/CSU</t>
        </is>
      </c>
      <c r="Q169" s="14" t="inlineStr"/>
      <c r="R169" s="14">
        <f>IF(COUNTIF(Abstimmungen!$B$5:$B$2000,D169)-COUNTIFS(Abstimmungen!$B$5:$B$2000,D169,Abstimmungen!$D$5:$D$2000,"*berweisung*")&gt;0,1,0)</f>
        <v/>
      </c>
    </row>
    <row r="170">
      <c r="A170" s="13" t="n">
        <v>45308</v>
      </c>
      <c r="B170" s="14">
        <f>IF(A170="","",YEAR(A170))</f>
        <v/>
      </c>
      <c r="C170" s="14">
        <f>IF(A170="","",YEAR(A170)&amp;"-Q"&amp;ROUNDUP(MONTH(A170)/3,0))</f>
        <v/>
      </c>
      <c r="D170" s="14" t="inlineStr">
        <is>
          <t>20/10086</t>
        </is>
      </c>
      <c r="E170" s="14" t="inlineStr">
        <is>
          <t>Kleine Anfrage</t>
        </is>
      </c>
      <c r="F170" s="14" t="inlineStr">
        <is>
          <t>CDU/CSU</t>
        </is>
      </c>
      <c r="G170" s="14" t="inlineStr">
        <is>
          <t>Opposition</t>
        </is>
      </c>
      <c r="H170" s="14" t="inlineStr">
        <is>
          <t>20</t>
        </is>
      </c>
      <c r="I170" s="14" t="inlineStr">
        <is>
          <t>Puenktlichkeit/Qualitaet</t>
        </is>
      </c>
      <c r="J170" s="14" t="inlineStr"/>
      <c r="K170" s="15">
        <f>IF(OR(J170="",LEFT(E170,7)&lt;&gt;"Antwort"),"",IFERROR(A170-INDEX($A$2:$A$293,MATCH(J170,$D$2:$D$293,0)),""))</f>
        <v/>
      </c>
      <c r="L170" s="14">
        <f>IF(E170&lt;&gt;"Kleine Anfrage","",IFERROR(INDEX($D$2:$D$293,MATCH(D170,$J$2:$J$293,0)),"offen"))</f>
        <v/>
      </c>
      <c r="M170" s="14" t="inlineStr">
        <is>
          <t>Kosten durch Zugverspätungen und Zugausfälle bei der Deutschen Bahn AG</t>
        </is>
      </c>
      <c r="N170" s="14" t="inlineStr">
        <is>
          <t>Fraktion der CDU/CSU</t>
        </is>
      </c>
      <c r="O170" s="16" t="inlineStr">
        <is>
          <t>PDF</t>
        </is>
      </c>
      <c r="P170" s="14" t="inlineStr"/>
      <c r="Q170" s="14" t="inlineStr"/>
      <c r="R170" s="14">
        <f>IF(COUNTIF(Abstimmungen!$B$5:$B$2000,D170)-COUNTIFS(Abstimmungen!$B$5:$B$2000,D170,Abstimmungen!$D$5:$D$2000,"*berweisung*")&gt;0,1,0)</f>
        <v/>
      </c>
    </row>
    <row r="171">
      <c r="A171" s="13" t="n">
        <v>45302</v>
      </c>
      <c r="B171" s="14">
        <f>IF(A171="","",YEAR(A171))</f>
        <v/>
      </c>
      <c r="C171" s="14">
        <f>IF(A171="","",YEAR(A171)&amp;"-Q"&amp;ROUNDUP(MONTH(A171)/3,0))</f>
        <v/>
      </c>
      <c r="D171" s="14" t="inlineStr">
        <is>
          <t>20/10102</t>
        </is>
      </c>
      <c r="E171" s="14" t="inlineStr">
        <is>
          <t>Antwort</t>
        </is>
      </c>
      <c r="F171" s="14" t="inlineStr">
        <is>
          <t>Bundesregierung</t>
        </is>
      </c>
      <c r="G171" s="14" t="inlineStr">
        <is>
          <t>Regierung</t>
        </is>
      </c>
      <c r="H171" s="14" t="inlineStr">
        <is>
          <t>20</t>
        </is>
      </c>
      <c r="I171" s="14" t="inlineStr">
        <is>
          <t>Finanzierung</t>
        </is>
      </c>
      <c r="J171" s="14" t="inlineStr">
        <is>
          <t>20/9754</t>
        </is>
      </c>
      <c r="K171" s="15">
        <f>IF(OR(J171="",LEFT(E171,7)&lt;&gt;"Antwort"),"",IFERROR(A171-INDEX($A$2:$A$293,MATCH(J171,$D$2:$D$293,0)),""))</f>
        <v/>
      </c>
      <c r="L171" s="14">
        <f>IF(E171&lt;&gt;"Kleine Anfrage","",IFERROR(INDEX($D$2:$D$293,MATCH(D171,$J$2:$J$293,0)),"offen"))</f>
        <v/>
      </c>
      <c r="M171" s="14" t="inlineStr">
        <is>
          <t>Finanzierung von Projekten der Deutschen Bahn AG durch das Bundesministerium für Digitales und Verkehr</t>
        </is>
      </c>
      <c r="N171" s="14" t="inlineStr">
        <is>
          <t>Bundesregierung</t>
        </is>
      </c>
      <c r="O171" s="16" t="inlineStr">
        <is>
          <t>PDF</t>
        </is>
      </c>
      <c r="P171" s="14" t="inlineStr">
        <is>
          <t>CDU/CSU</t>
        </is>
      </c>
      <c r="Q171" s="14" t="inlineStr"/>
      <c r="R171" s="14">
        <f>IF(COUNTIF(Abstimmungen!$B$5:$B$2000,D171)-COUNTIFS(Abstimmungen!$B$5:$B$2000,D171,Abstimmungen!$D$5:$D$2000,"*berweisung*")&gt;0,1,0)</f>
        <v/>
      </c>
    </row>
    <row r="172">
      <c r="A172" s="13" t="n">
        <v>45302</v>
      </c>
      <c r="B172" s="14">
        <f>IF(A172="","",YEAR(A172))</f>
        <v/>
      </c>
      <c r="C172" s="14">
        <f>IF(A172="","",YEAR(A172)&amp;"-Q"&amp;ROUNDUP(MONTH(A172)/3,0))</f>
        <v/>
      </c>
      <c r="D172" s="14" t="inlineStr">
        <is>
          <t>20/10023</t>
        </is>
      </c>
      <c r="E172" s="14" t="inlineStr">
        <is>
          <t>Kleine Anfrage</t>
        </is>
      </c>
      <c r="F172" s="14" t="inlineStr">
        <is>
          <t>CDU/CSU</t>
        </is>
      </c>
      <c r="G172" s="14" t="inlineStr">
        <is>
          <t>Opposition</t>
        </is>
      </c>
      <c r="H172" s="14" t="inlineStr">
        <is>
          <t>20</t>
        </is>
      </c>
      <c r="I172" s="14" t="inlineStr">
        <is>
          <t>Sonstiges</t>
        </is>
      </c>
      <c r="J172" s="14" t="inlineStr"/>
      <c r="K172" s="15">
        <f>IF(OR(J172="",LEFT(E172,7)&lt;&gt;"Antwort"),"",IFERROR(A172-INDEX($A$2:$A$293,MATCH(J172,$D$2:$D$293,0)),""))</f>
        <v/>
      </c>
      <c r="L172" s="14">
        <f>IF(E172&lt;&gt;"Kleine Anfrage","",IFERROR(INDEX($D$2:$D$293,MATCH(D172,$J$2:$J$293,0)),"offen"))</f>
        <v/>
      </c>
      <c r="M172" s="14" t="inlineStr">
        <is>
          <t>Steuerung der Deutschen Bahn AG</t>
        </is>
      </c>
      <c r="N172" s="14" t="inlineStr">
        <is>
          <t>Fraktion der CDU/CSU</t>
        </is>
      </c>
      <c r="O172" s="16" t="inlineStr">
        <is>
          <t>PDF</t>
        </is>
      </c>
      <c r="P172" s="14" t="inlineStr"/>
      <c r="Q172" s="14" t="inlineStr"/>
      <c r="R172" s="14">
        <f>IF(COUNTIF(Abstimmungen!$B$5:$B$2000,D172)-COUNTIFS(Abstimmungen!$B$5:$B$2000,D172,Abstimmungen!$D$5:$D$2000,"*berweisung*")&gt;0,1,0)</f>
        <v/>
      </c>
    </row>
    <row r="173">
      <c r="A173" s="13" t="n">
        <v>45293</v>
      </c>
      <c r="B173" s="14">
        <f>IF(A173="","",YEAR(A173))</f>
        <v/>
      </c>
      <c r="C173" s="14">
        <f>IF(A173="","",YEAR(A173)&amp;"-Q"&amp;ROUNDUP(MONTH(A173)/3,0))</f>
        <v/>
      </c>
      <c r="D173" s="14" t="inlineStr">
        <is>
          <t>20/9960</t>
        </is>
      </c>
      <c r="E173" s="14" t="inlineStr">
        <is>
          <t>Antwort</t>
        </is>
      </c>
      <c r="F173" s="14" t="inlineStr">
        <is>
          <t>Bundesregierung</t>
        </is>
      </c>
      <c r="G173" s="14" t="inlineStr">
        <is>
          <t>Regierung</t>
        </is>
      </c>
      <c r="H173" s="14" t="inlineStr">
        <is>
          <t>20</t>
        </is>
      </c>
      <c r="I173" s="14" t="inlineStr">
        <is>
          <t>Sonstiges</t>
        </is>
      </c>
      <c r="J173" s="14" t="inlineStr">
        <is>
          <t>20/9652</t>
        </is>
      </c>
      <c r="K173" s="15">
        <f>IF(OR(J173="",LEFT(E173,7)&lt;&gt;"Antwort"),"",IFERROR(A173-INDEX($A$2:$A$293,MATCH(J173,$D$2:$D$293,0)),""))</f>
        <v/>
      </c>
      <c r="L173" s="14">
        <f>IF(E173&lt;&gt;"Kleine Anfrage","",IFERROR(INDEX($D$2:$D$293,MATCH(D173,$J$2:$J$293,0)),"offen"))</f>
        <v/>
      </c>
      <c r="M173" s="14" t="inlineStr">
        <is>
          <t>Aufsichtsrat der Deutschen Bahn AG</t>
        </is>
      </c>
      <c r="N173" s="14" t="inlineStr">
        <is>
          <t>Bundesregierung</t>
        </is>
      </c>
      <c r="O173" s="16" t="inlineStr">
        <is>
          <t>PDF</t>
        </is>
      </c>
      <c r="P173" s="14" t="inlineStr">
        <is>
          <t>CDU/CSU</t>
        </is>
      </c>
      <c r="Q173" s="14" t="inlineStr"/>
      <c r="R173" s="14">
        <f>IF(COUNTIF(Abstimmungen!$B$5:$B$2000,D173)-COUNTIFS(Abstimmungen!$B$5:$B$2000,D173,Abstimmungen!$D$5:$D$2000,"*berweisung*")&gt;0,1,0)</f>
        <v/>
      </c>
    </row>
    <row r="174">
      <c r="A174" s="13" t="n">
        <v>45282</v>
      </c>
      <c r="B174" s="14">
        <f>IF(A174="","",YEAR(A174))</f>
        <v/>
      </c>
      <c r="C174" s="14">
        <f>IF(A174="","",YEAR(A174)&amp;"-Q"&amp;ROUNDUP(MONTH(A174)/3,0))</f>
        <v/>
      </c>
      <c r="D174" s="14" t="inlineStr">
        <is>
          <t>20/9944</t>
        </is>
      </c>
      <c r="E174" s="14" t="inlineStr">
        <is>
          <t>Antwort</t>
        </is>
      </c>
      <c r="F174" s="14" t="inlineStr">
        <is>
          <t>Bundesregierung</t>
        </is>
      </c>
      <c r="G174" s="14" t="inlineStr">
        <is>
          <t>Regierung</t>
        </is>
      </c>
      <c r="H174" s="14" t="inlineStr">
        <is>
          <t>20</t>
        </is>
      </c>
      <c r="I174" s="14" t="inlineStr">
        <is>
          <t>Sonstiges</t>
        </is>
      </c>
      <c r="J174" s="14" t="inlineStr">
        <is>
          <t>20/9607</t>
        </is>
      </c>
      <c r="K174" s="15">
        <f>IF(OR(J174="",LEFT(E174,7)&lt;&gt;"Antwort"),"",IFERROR(A174-INDEX($A$2:$A$293,MATCH(J174,$D$2:$D$293,0)),""))</f>
        <v/>
      </c>
      <c r="L174" s="14">
        <f>IF(E174&lt;&gt;"Kleine Anfrage","",IFERROR(INDEX($D$2:$D$293,MATCH(D174,$J$2:$J$293,0)),"offen"))</f>
        <v/>
      </c>
      <c r="M174" s="14" t="inlineStr">
        <is>
          <t>Mögliche Interessenkonflikte bei der Neubesetzung von Leitungspositionen innerhalb der Deutschen Bahn AG</t>
        </is>
      </c>
      <c r="N174" s="14" t="inlineStr">
        <is>
          <t>Bundesregierung</t>
        </is>
      </c>
      <c r="O174" s="16" t="inlineStr">
        <is>
          <t>PDF</t>
        </is>
      </c>
      <c r="P174" s="14" t="inlineStr">
        <is>
          <t>AfD</t>
        </is>
      </c>
      <c r="Q174" s="14" t="inlineStr"/>
      <c r="R174" s="14">
        <f>IF(COUNTIF(Abstimmungen!$B$5:$B$2000,D174)-COUNTIFS(Abstimmungen!$B$5:$B$2000,D174,Abstimmungen!$D$5:$D$2000,"*berweisung*")&gt;0,1,0)</f>
        <v/>
      </c>
    </row>
    <row r="175">
      <c r="A175" s="13" t="n">
        <v>45282</v>
      </c>
      <c r="B175" s="14">
        <f>IF(A175="","",YEAR(A175))</f>
        <v/>
      </c>
      <c r="C175" s="14">
        <f>IF(A175="","",YEAR(A175)&amp;"-Q"&amp;ROUNDUP(MONTH(A175)/3,0))</f>
        <v/>
      </c>
      <c r="D175" s="14" t="inlineStr">
        <is>
          <t>20/9921</t>
        </is>
      </c>
      <c r="E175" s="14" t="inlineStr">
        <is>
          <t>Kleine Anfrage</t>
        </is>
      </c>
      <c r="F175" s="14" t="inlineStr">
        <is>
          <t>CDU/CSU</t>
        </is>
      </c>
      <c r="G175" s="14" t="inlineStr">
        <is>
          <t>Opposition</t>
        </is>
      </c>
      <c r="H175" s="14" t="inlineStr">
        <is>
          <t>20</t>
        </is>
      </c>
      <c r="I175" s="14" t="inlineStr">
        <is>
          <t>Konzernstruktur/DB AG</t>
        </is>
      </c>
      <c r="J175" s="14" t="inlineStr"/>
      <c r="K175" s="15">
        <f>IF(OR(J175="",LEFT(E175,7)&lt;&gt;"Antwort"),"",IFERROR(A175-INDEX($A$2:$A$293,MATCH(J175,$D$2:$D$293,0)),""))</f>
        <v/>
      </c>
      <c r="L175" s="14">
        <f>IF(E175&lt;&gt;"Kleine Anfrage","",IFERROR(INDEX($D$2:$D$293,MATCH(D175,$J$2:$J$293,0)),"offen"))</f>
        <v/>
      </c>
      <c r="M175" s="14" t="inlineStr">
        <is>
          <t>Verschmelzungsvertrag zur Gründung der Deutsche Bahn InfraGO AG</t>
        </is>
      </c>
      <c r="N175" s="14" t="inlineStr">
        <is>
          <t>Fraktion der CDU/CSU</t>
        </is>
      </c>
      <c r="O175" s="16" t="inlineStr">
        <is>
          <t>PDF</t>
        </is>
      </c>
      <c r="P175" s="14" t="inlineStr"/>
      <c r="Q175" s="14" t="inlineStr"/>
      <c r="R175" s="14">
        <f>IF(COUNTIF(Abstimmungen!$B$5:$B$2000,D175)-COUNTIFS(Abstimmungen!$B$5:$B$2000,D175,Abstimmungen!$D$5:$D$2000,"*berweisung*")&gt;0,1,0)</f>
        <v/>
      </c>
    </row>
    <row r="176">
      <c r="A176" s="13" t="n">
        <v>45280</v>
      </c>
      <c r="B176" s="14">
        <f>IF(A176="","",YEAR(A176))</f>
        <v/>
      </c>
      <c r="C176" s="14">
        <f>IF(A176="","",YEAR(A176)&amp;"-Q"&amp;ROUNDUP(MONTH(A176)/3,0))</f>
        <v/>
      </c>
      <c r="D176" s="14" t="inlineStr">
        <is>
          <t>20/9881</t>
        </is>
      </c>
      <c r="E176" s="14" t="inlineStr">
        <is>
          <t>Antwort</t>
        </is>
      </c>
      <c r="F176" s="14" t="inlineStr">
        <is>
          <t>Bundesregierung</t>
        </is>
      </c>
      <c r="G176" s="14" t="inlineStr">
        <is>
          <t>Regierung</t>
        </is>
      </c>
      <c r="H176" s="14" t="inlineStr">
        <is>
          <t>20</t>
        </is>
      </c>
      <c r="I176" s="14" t="inlineStr">
        <is>
          <t>Nahverkehr/SPNV</t>
        </is>
      </c>
      <c r="J176" s="14" t="inlineStr">
        <is>
          <t>20/9118</t>
        </is>
      </c>
      <c r="K176" s="15">
        <f>IF(OR(J176="",LEFT(E176,7)&lt;&gt;"Antwort"),"",IFERROR(A176-INDEX($A$2:$A$293,MATCH(J176,$D$2:$D$293,0)),""))</f>
        <v/>
      </c>
      <c r="L176" s="14">
        <f>IF(E176&lt;&gt;"Kleine Anfrage","",IFERROR(INDEX($D$2:$D$293,MATCH(D176,$J$2:$J$293,0)),"offen"))</f>
        <v/>
      </c>
      <c r="M176" s="14" t="inlineStr">
        <is>
          <t>Höhe der Wertvernichtung durch das Scheitern der Auslandsstrategie der Deutschen Bahn AG im Personennahverkehr</t>
        </is>
      </c>
      <c r="N176" s="14" t="inlineStr">
        <is>
          <t>Bundesregierung</t>
        </is>
      </c>
      <c r="O176" s="16" t="inlineStr">
        <is>
          <t>PDF</t>
        </is>
      </c>
      <c r="P176" s="14" t="inlineStr">
        <is>
          <t>AfD</t>
        </is>
      </c>
      <c r="Q176" s="14" t="inlineStr"/>
      <c r="R176" s="14">
        <f>IF(COUNTIF(Abstimmungen!$B$5:$B$2000,D176)-COUNTIFS(Abstimmungen!$B$5:$B$2000,D176,Abstimmungen!$D$5:$D$2000,"*berweisung*")&gt;0,1,0)</f>
        <v/>
      </c>
    </row>
    <row r="177">
      <c r="A177" s="13" t="n">
        <v>45279</v>
      </c>
      <c r="B177" s="14">
        <f>IF(A177="","",YEAR(A177))</f>
        <v/>
      </c>
      <c r="C177" s="14">
        <f>IF(A177="","",YEAR(A177)&amp;"-Q"&amp;ROUNDUP(MONTH(A177)/3,0))</f>
        <v/>
      </c>
      <c r="D177" s="14" t="inlineStr">
        <is>
          <t>20/9869</t>
        </is>
      </c>
      <c r="E177" s="14" t="inlineStr">
        <is>
          <t>Antwort</t>
        </is>
      </c>
      <c r="F177" s="14" t="inlineStr">
        <is>
          <t>Bundesregierung</t>
        </is>
      </c>
      <c r="G177" s="14" t="inlineStr">
        <is>
          <t>Regierung</t>
        </is>
      </c>
      <c r="H177" s="14" t="inlineStr">
        <is>
          <t>20</t>
        </is>
      </c>
      <c r="I177" s="14" t="inlineStr">
        <is>
          <t>Sonstiges</t>
        </is>
      </c>
      <c r="J177" s="14" t="inlineStr">
        <is>
          <t>20/9466</t>
        </is>
      </c>
      <c r="K177" s="15">
        <f>IF(OR(J177="",LEFT(E177,7)&lt;&gt;"Antwort"),"",IFERROR(A177-INDEX($A$2:$A$293,MATCH(J177,$D$2:$D$293,0)),""))</f>
        <v/>
      </c>
      <c r="L177" s="14">
        <f>IF(E177&lt;&gt;"Kleine Anfrage","",IFERROR(INDEX($D$2:$D$293,MATCH(D177,$J$2:$J$293,0)),"offen"))</f>
        <v/>
      </c>
      <c r="M177" s="14" t="inlineStr">
        <is>
          <t>Medienpolitik der Deutschen Bahn AG</t>
        </is>
      </c>
      <c r="N177" s="14" t="inlineStr">
        <is>
          <t>Bundesregierung</t>
        </is>
      </c>
      <c r="O177" s="16" t="inlineStr">
        <is>
          <t>PDF</t>
        </is>
      </c>
      <c r="P177" s="14" t="inlineStr">
        <is>
          <t>AfD</t>
        </is>
      </c>
      <c r="Q177" s="14" t="inlineStr"/>
      <c r="R177" s="14">
        <f>IF(COUNTIF(Abstimmungen!$B$5:$B$2000,D177)-COUNTIFS(Abstimmungen!$B$5:$B$2000,D177,Abstimmungen!$D$5:$D$2000,"*berweisung*")&gt;0,1,0)</f>
        <v/>
      </c>
    </row>
    <row r="178">
      <c r="A178" s="13" t="n">
        <v>45274</v>
      </c>
      <c r="B178" s="14">
        <f>IF(A178="","",YEAR(A178))</f>
        <v/>
      </c>
      <c r="C178" s="14">
        <f>IF(A178="","",YEAR(A178)&amp;"-Q"&amp;ROUNDUP(MONTH(A178)/3,0))</f>
        <v/>
      </c>
      <c r="D178" s="14" t="inlineStr">
        <is>
          <t>20/9806</t>
        </is>
      </c>
      <c r="E178" s="14" t="inlineStr">
        <is>
          <t>Antwort</t>
        </is>
      </c>
      <c r="F178" s="14" t="inlineStr">
        <is>
          <t>Bundesregierung</t>
        </is>
      </c>
      <c r="G178" s="14" t="inlineStr">
        <is>
          <t>Regierung</t>
        </is>
      </c>
      <c r="H178" s="14" t="inlineStr">
        <is>
          <t>20</t>
        </is>
      </c>
      <c r="I178" s="14" t="inlineStr">
        <is>
          <t>Konzernstruktur/DB AG</t>
        </is>
      </c>
      <c r="J178" s="14" t="inlineStr">
        <is>
          <t>20/8539</t>
        </is>
      </c>
      <c r="K178" s="15">
        <f>IF(OR(J178="",LEFT(E178,7)&lt;&gt;"Antwort"),"",IFERROR(A178-INDEX($A$2:$A$293,MATCH(J178,$D$2:$D$293,0)),""))</f>
        <v/>
      </c>
      <c r="L178" s="14">
        <f>IF(E178&lt;&gt;"Kleine Anfrage","",IFERROR(INDEX($D$2:$D$293,MATCH(D178,$J$2:$J$293,0)),"offen"))</f>
        <v/>
      </c>
      <c r="M178" s="14" t="inlineStr">
        <is>
          <t>Schuldenlast und Zukunftsfähigkeit der Deutsche Bahn AG</t>
        </is>
      </c>
      <c r="N178" s="14" t="inlineStr">
        <is>
          <t>Bundesregierung</t>
        </is>
      </c>
      <c r="O178" s="16" t="inlineStr">
        <is>
          <t>PDF</t>
        </is>
      </c>
      <c r="P178" s="14" t="inlineStr">
        <is>
          <t>CDU/CSU</t>
        </is>
      </c>
      <c r="Q178" s="14" t="inlineStr"/>
      <c r="R178" s="14">
        <f>IF(COUNTIF(Abstimmungen!$B$5:$B$2000,D178)-COUNTIFS(Abstimmungen!$B$5:$B$2000,D178,Abstimmungen!$D$5:$D$2000,"*berweisung*")&gt;0,1,0)</f>
        <v/>
      </c>
    </row>
    <row r="179">
      <c r="A179" s="13" t="n">
        <v>45273</v>
      </c>
      <c r="B179" s="14">
        <f>IF(A179="","",YEAR(A179))</f>
        <v/>
      </c>
      <c r="C179" s="14">
        <f>IF(A179="","",YEAR(A179)&amp;"-Q"&amp;ROUNDUP(MONTH(A179)/3,0))</f>
        <v/>
      </c>
      <c r="D179" s="14" t="inlineStr">
        <is>
          <t>20/9754</t>
        </is>
      </c>
      <c r="E179" s="14" t="inlineStr">
        <is>
          <t>Kleine Anfrage</t>
        </is>
      </c>
      <c r="F179" s="14" t="inlineStr">
        <is>
          <t>CDU/CSU</t>
        </is>
      </c>
      <c r="G179" s="14" t="inlineStr">
        <is>
          <t>Opposition</t>
        </is>
      </c>
      <c r="H179" s="14" t="inlineStr">
        <is>
          <t>20</t>
        </is>
      </c>
      <c r="I179" s="14" t="inlineStr">
        <is>
          <t>Finanzierung</t>
        </is>
      </c>
      <c r="J179" s="14" t="inlineStr"/>
      <c r="K179" s="15">
        <f>IF(OR(J179="",LEFT(E179,7)&lt;&gt;"Antwort"),"",IFERROR(A179-INDEX($A$2:$A$293,MATCH(J179,$D$2:$D$293,0)),""))</f>
        <v/>
      </c>
      <c r="L179" s="14">
        <f>IF(E179&lt;&gt;"Kleine Anfrage","",IFERROR(INDEX($D$2:$D$293,MATCH(D179,$J$2:$J$293,0)),"offen"))</f>
        <v/>
      </c>
      <c r="M179" s="14" t="inlineStr">
        <is>
          <t>Finanzierung von Projekten der Deutschen Bahn AG durch das Bundesministerium für Digitales und Verkehr</t>
        </is>
      </c>
      <c r="N179" s="14" t="inlineStr">
        <is>
          <t>Fraktion der CDU/CSU</t>
        </is>
      </c>
      <c r="O179" s="16" t="inlineStr">
        <is>
          <t>PDF</t>
        </is>
      </c>
      <c r="P179" s="14" t="inlineStr"/>
      <c r="Q179" s="14" t="inlineStr"/>
      <c r="R179" s="14">
        <f>IF(COUNTIF(Abstimmungen!$B$5:$B$2000,D179)-COUNTIFS(Abstimmungen!$B$5:$B$2000,D179,Abstimmungen!$D$5:$D$2000,"*berweisung*")&gt;0,1,0)</f>
        <v/>
      </c>
    </row>
    <row r="180">
      <c r="A180" s="13" t="n">
        <v>45266</v>
      </c>
      <c r="B180" s="14">
        <f>IF(A180="","",YEAR(A180))</f>
        <v/>
      </c>
      <c r="C180" s="14">
        <f>IF(A180="","",YEAR(A180)&amp;"-Q"&amp;ROUNDUP(MONTH(A180)/3,0))</f>
        <v/>
      </c>
      <c r="D180" s="14" t="inlineStr">
        <is>
          <t>20/9652</t>
        </is>
      </c>
      <c r="E180" s="14" t="inlineStr">
        <is>
          <t>Kleine Anfrage</t>
        </is>
      </c>
      <c r="F180" s="14" t="inlineStr">
        <is>
          <t>CDU/CSU</t>
        </is>
      </c>
      <c r="G180" s="14" t="inlineStr">
        <is>
          <t>Opposition</t>
        </is>
      </c>
      <c r="H180" s="14" t="inlineStr">
        <is>
          <t>20</t>
        </is>
      </c>
      <c r="I180" s="14" t="inlineStr">
        <is>
          <t>Sonstiges</t>
        </is>
      </c>
      <c r="J180" s="14" t="inlineStr"/>
      <c r="K180" s="15">
        <f>IF(OR(J180="",LEFT(E180,7)&lt;&gt;"Antwort"),"",IFERROR(A180-INDEX($A$2:$A$293,MATCH(J180,$D$2:$D$293,0)),""))</f>
        <v/>
      </c>
      <c r="L180" s="14">
        <f>IF(E180&lt;&gt;"Kleine Anfrage","",IFERROR(INDEX($D$2:$D$293,MATCH(D180,$J$2:$J$293,0)),"offen"))</f>
        <v/>
      </c>
      <c r="M180" s="14" t="inlineStr">
        <is>
          <t>Aufsichtsrat der Deutschen Bahn AG</t>
        </is>
      </c>
      <c r="N180" s="14" t="inlineStr">
        <is>
          <t>Fraktion der CDU/CSU</t>
        </is>
      </c>
      <c r="O180" s="16" t="inlineStr">
        <is>
          <t>PDF</t>
        </is>
      </c>
      <c r="P180" s="14" t="inlineStr"/>
      <c r="Q180" s="14" t="inlineStr"/>
      <c r="R180" s="14">
        <f>IF(COUNTIF(Abstimmungen!$B$5:$B$2000,D180)-COUNTIFS(Abstimmungen!$B$5:$B$2000,D180,Abstimmungen!$D$5:$D$2000,"*berweisung*")&gt;0,1,0)</f>
        <v/>
      </c>
    </row>
    <row r="181">
      <c r="A181" s="13" t="n">
        <v>45261</v>
      </c>
      <c r="B181" s="14">
        <f>IF(A181="","",YEAR(A181))</f>
        <v/>
      </c>
      <c r="C181" s="14">
        <f>IF(A181="","",YEAR(A181)&amp;"-Q"&amp;ROUNDUP(MONTH(A181)/3,0))</f>
        <v/>
      </c>
      <c r="D181" s="14" t="inlineStr">
        <is>
          <t>20/9607</t>
        </is>
      </c>
      <c r="E181" s="14" t="inlineStr">
        <is>
          <t>Kleine Anfrage</t>
        </is>
      </c>
      <c r="F181" s="14" t="inlineStr">
        <is>
          <t>AfD</t>
        </is>
      </c>
      <c r="G181" s="14" t="inlineStr">
        <is>
          <t>Opposition</t>
        </is>
      </c>
      <c r="H181" s="14" t="inlineStr">
        <is>
          <t>20</t>
        </is>
      </c>
      <c r="I181" s="14" t="inlineStr">
        <is>
          <t>Sonstiges</t>
        </is>
      </c>
      <c r="J181" s="14" t="inlineStr"/>
      <c r="K181" s="15">
        <f>IF(OR(J181="",LEFT(E181,7)&lt;&gt;"Antwort"),"",IFERROR(A181-INDEX($A$2:$A$293,MATCH(J181,$D$2:$D$293,0)),""))</f>
        <v/>
      </c>
      <c r="L181" s="14">
        <f>IF(E181&lt;&gt;"Kleine Anfrage","",IFERROR(INDEX($D$2:$D$293,MATCH(D181,$J$2:$J$293,0)),"offen"))</f>
        <v/>
      </c>
      <c r="M181" s="14" t="inlineStr">
        <is>
          <t>Mögliche Interessenkonflikte bei der Neubesetzung von Leitungspositionen innerhalb der Deutschen Bahn AG</t>
        </is>
      </c>
      <c r="N181" s="14" t="inlineStr">
        <is>
          <t>Fraktion der AfD</t>
        </is>
      </c>
      <c r="O181" s="16" t="inlineStr">
        <is>
          <t>PDF</t>
        </is>
      </c>
      <c r="P181" s="14" t="inlineStr"/>
      <c r="Q181" s="14" t="inlineStr"/>
      <c r="R181" s="14">
        <f>IF(COUNTIF(Abstimmungen!$B$5:$B$2000,D181)-COUNTIFS(Abstimmungen!$B$5:$B$2000,D181,Abstimmungen!$D$5:$D$2000,"*berweisung*")&gt;0,1,0)</f>
        <v/>
      </c>
    </row>
    <row r="182">
      <c r="A182" s="13" t="n">
        <v>45257</v>
      </c>
      <c r="B182" s="14">
        <f>IF(A182="","",YEAR(A182))</f>
        <v/>
      </c>
      <c r="C182" s="14">
        <f>IF(A182="","",YEAR(A182)&amp;"-Q"&amp;ROUNDUP(MONTH(A182)/3,0))</f>
        <v/>
      </c>
      <c r="D182" s="14" t="inlineStr">
        <is>
          <t>20/9475</t>
        </is>
      </c>
      <c r="E182" s="14" t="inlineStr">
        <is>
          <t>Antwort</t>
        </is>
      </c>
      <c r="F182" s="14" t="inlineStr">
        <is>
          <t>Bundesregierung</t>
        </is>
      </c>
      <c r="G182" s="14" t="inlineStr">
        <is>
          <t>Regierung</t>
        </is>
      </c>
      <c r="H182" s="14" t="inlineStr">
        <is>
          <t>20</t>
        </is>
      </c>
      <c r="I182" s="14" t="inlineStr">
        <is>
          <t>Bahnhoefe</t>
        </is>
      </c>
      <c r="J182" s="14" t="inlineStr">
        <is>
          <t>20/8621</t>
        </is>
      </c>
      <c r="K182" s="15">
        <f>IF(OR(J182="",LEFT(E182,7)&lt;&gt;"Antwort"),"",IFERROR(A182-INDEX($A$2:$A$293,MATCH(J182,$D$2:$D$293,0)),""))</f>
        <v/>
      </c>
      <c r="L182" s="14">
        <f>IF(E182&lt;&gt;"Kleine Anfrage","",IFERROR(INDEX($D$2:$D$293,MATCH(D182,$J$2:$J$293,0)),"offen"))</f>
        <v/>
      </c>
      <c r="M182" s="14" t="inlineStr">
        <is>
          <t>Zustand der Bahnhöfe in Deutschland</t>
        </is>
      </c>
      <c r="N182" s="14" t="inlineStr">
        <is>
          <t>Bundesregierung</t>
        </is>
      </c>
      <c r="O182" s="16" t="inlineStr">
        <is>
          <t>PDF</t>
        </is>
      </c>
      <c r="P182" s="14" t="inlineStr">
        <is>
          <t>CDU/CSU</t>
        </is>
      </c>
      <c r="Q182" s="14" t="inlineStr"/>
      <c r="R182" s="14">
        <f>IF(COUNTIF(Abstimmungen!$B$5:$B$2000,D182)-COUNTIFS(Abstimmungen!$B$5:$B$2000,D182,Abstimmungen!$D$5:$D$2000,"*berweisung*")&gt;0,1,0)</f>
        <v/>
      </c>
    </row>
    <row r="183">
      <c r="A183" s="13" t="n">
        <v>45254</v>
      </c>
      <c r="B183" s="14">
        <f>IF(A183="","",YEAR(A183))</f>
        <v/>
      </c>
      <c r="C183" s="14">
        <f>IF(A183="","",YEAR(A183)&amp;"-Q"&amp;ROUNDUP(MONTH(A183)/3,0))</f>
        <v/>
      </c>
      <c r="D183" s="14" t="inlineStr">
        <is>
          <t>20/9466</t>
        </is>
      </c>
      <c r="E183" s="14" t="inlineStr">
        <is>
          <t>Kleine Anfrage</t>
        </is>
      </c>
      <c r="F183" s="14" t="inlineStr">
        <is>
          <t>AfD</t>
        </is>
      </c>
      <c r="G183" s="14" t="inlineStr">
        <is>
          <t>Opposition</t>
        </is>
      </c>
      <c r="H183" s="14" t="inlineStr">
        <is>
          <t>20</t>
        </is>
      </c>
      <c r="I183" s="14" t="inlineStr">
        <is>
          <t>Sonstiges</t>
        </is>
      </c>
      <c r="J183" s="14" t="inlineStr"/>
      <c r="K183" s="15">
        <f>IF(OR(J183="",LEFT(E183,7)&lt;&gt;"Antwort"),"",IFERROR(A183-INDEX($A$2:$A$293,MATCH(J183,$D$2:$D$293,0)),""))</f>
        <v/>
      </c>
      <c r="L183" s="14">
        <f>IF(E183&lt;&gt;"Kleine Anfrage","",IFERROR(INDEX($D$2:$D$293,MATCH(D183,$J$2:$J$293,0)),"offen"))</f>
        <v/>
      </c>
      <c r="M183" s="14" t="inlineStr">
        <is>
          <t>Medienpolitik der Deutschen Bahn AG</t>
        </is>
      </c>
      <c r="N183" s="14" t="inlineStr">
        <is>
          <t>Fraktion der AfD</t>
        </is>
      </c>
      <c r="O183" s="16" t="inlineStr">
        <is>
          <t>PDF</t>
        </is>
      </c>
      <c r="P183" s="14" t="inlineStr"/>
      <c r="Q183" s="14" t="inlineStr"/>
      <c r="R183" s="14">
        <f>IF(COUNTIF(Abstimmungen!$B$5:$B$2000,D183)-COUNTIFS(Abstimmungen!$B$5:$B$2000,D183,Abstimmungen!$D$5:$D$2000,"*berweisung*")&gt;0,1,0)</f>
        <v/>
      </c>
    </row>
    <row r="184">
      <c r="A184" s="13" t="n">
        <v>45245</v>
      </c>
      <c r="B184" s="14">
        <f>IF(A184="","",YEAR(A184))</f>
        <v/>
      </c>
      <c r="C184" s="14">
        <f>IF(A184="","",YEAR(A184)&amp;"-Q"&amp;ROUNDUP(MONTH(A184)/3,0))</f>
        <v/>
      </c>
      <c r="D184" s="14" t="inlineStr">
        <is>
          <t>20/9326</t>
        </is>
      </c>
      <c r="E184" s="14" t="inlineStr">
        <is>
          <t>Gesetzentwurf</t>
        </is>
      </c>
      <c r="F184" s="14" t="inlineStr">
        <is>
          <t>Bundesrat</t>
        </is>
      </c>
      <c r="G184" s="14" t="inlineStr">
        <is>
          <t>Sonstige</t>
        </is>
      </c>
      <c r="H184" s="14" t="inlineStr">
        <is>
          <t>20</t>
        </is>
      </c>
      <c r="I184" s="14" t="inlineStr">
        <is>
          <t>Infrastruktur/Netz</t>
        </is>
      </c>
      <c r="J184" s="14" t="inlineStr"/>
      <c r="K184" s="15">
        <f>IF(OR(J184="",LEFT(E184,7)&lt;&gt;"Antwort"),"",IFERROR(A184-INDEX($A$2:$A$293,MATCH(J184,$D$2:$D$293,0)),""))</f>
        <v/>
      </c>
      <c r="L184" s="14">
        <f>IF(E184&lt;&gt;"Kleine Anfrage","",IFERROR(INDEX($D$2:$D$293,MATCH(D184,$J$2:$J$293,0)),"offen"))</f>
        <v/>
      </c>
      <c r="M184" s="14" t="inlineStr">
        <is>
          <t>Entwurf eines Gesetzes zur Stärkung des Klimaschutzes durch eine Beschleunigung des Ausbaus der Schieneninfrastruktur - Klimaschutzbeschleunigungsgesetz Schiene</t>
        </is>
      </c>
      <c r="N184" s="14" t="inlineStr">
        <is>
          <t>Bundesrat</t>
        </is>
      </c>
      <c r="O184" s="16" t="inlineStr">
        <is>
          <t>PDF</t>
        </is>
      </c>
      <c r="P184" s="14" t="inlineStr"/>
      <c r="Q184" s="14" t="inlineStr"/>
      <c r="R184" s="14">
        <f>IF(COUNTIF(Abstimmungen!$B$5:$B$2000,D184)-COUNTIFS(Abstimmungen!$B$5:$B$2000,D184,Abstimmungen!$D$5:$D$2000,"*berweisung*")&gt;0,1,0)</f>
        <v/>
      </c>
    </row>
    <row r="185">
      <c r="A185" s="13" t="n">
        <v>45245</v>
      </c>
      <c r="B185" s="14">
        <f>IF(A185="","",YEAR(A185))</f>
        <v/>
      </c>
      <c r="C185" s="14">
        <f>IF(A185="","",YEAR(A185)&amp;"-Q"&amp;ROUNDUP(MONTH(A185)/3,0))</f>
        <v/>
      </c>
      <c r="D185" s="14" t="inlineStr">
        <is>
          <t>20/9331</t>
        </is>
      </c>
      <c r="E185" s="14" t="inlineStr">
        <is>
          <t>Antwort</t>
        </is>
      </c>
      <c r="F185" s="14" t="inlineStr">
        <is>
          <t>Bundesregierung</t>
        </is>
      </c>
      <c r="G185" s="14" t="inlineStr">
        <is>
          <t>Regierung</t>
        </is>
      </c>
      <c r="H185" s="14" t="inlineStr">
        <is>
          <t>20</t>
        </is>
      </c>
      <c r="I185" s="14" t="inlineStr">
        <is>
          <t>Sicherheit</t>
        </is>
      </c>
      <c r="J185" s="14" t="inlineStr">
        <is>
          <t>20/8808</t>
        </is>
      </c>
      <c r="K185" s="15">
        <f>IF(OR(J185="",LEFT(E185,7)&lt;&gt;"Antwort"),"",IFERROR(A185-INDEX($A$2:$A$293,MATCH(J185,$D$2:$D$293,0)),""))</f>
        <v/>
      </c>
      <c r="L185" s="14">
        <f>IF(E185&lt;&gt;"Kleine Anfrage","",IFERROR(INDEX($D$2:$D$293,MATCH(D185,$J$2:$J$293,0)),"offen"))</f>
        <v/>
      </c>
      <c r="M185" s="14" t="inlineStr">
        <is>
          <t>Entwicklungen im Bereich der Bahn-Sabotage bei der Deutschen Bahn AG</t>
        </is>
      </c>
      <c r="N185" s="14" t="inlineStr">
        <is>
          <t>Bundesregierung</t>
        </is>
      </c>
      <c r="O185" s="16" t="inlineStr">
        <is>
          <t>PDF</t>
        </is>
      </c>
      <c r="P185" s="14" t="inlineStr">
        <is>
          <t>AfD</t>
        </is>
      </c>
      <c r="Q185" s="14" t="inlineStr"/>
      <c r="R185" s="14">
        <f>IF(COUNTIF(Abstimmungen!$B$5:$B$2000,D185)-COUNTIFS(Abstimmungen!$B$5:$B$2000,D185,Abstimmungen!$D$5:$D$2000,"*berweisung*")&gt;0,1,0)</f>
        <v/>
      </c>
    </row>
    <row r="186">
      <c r="A186" s="13" t="n">
        <v>45236</v>
      </c>
      <c r="B186" s="14">
        <f>IF(A186="","",YEAR(A186))</f>
        <v/>
      </c>
      <c r="C186" s="14">
        <f>IF(A186="","",YEAR(A186)&amp;"-Q"&amp;ROUNDUP(MONTH(A186)/3,0))</f>
        <v/>
      </c>
      <c r="D186" s="14" t="inlineStr">
        <is>
          <t>20/9118</t>
        </is>
      </c>
      <c r="E186" s="14" t="inlineStr">
        <is>
          <t>Kleine Anfrage</t>
        </is>
      </c>
      <c r="F186" s="14" t="inlineStr">
        <is>
          <t>AfD</t>
        </is>
      </c>
      <c r="G186" s="14" t="inlineStr">
        <is>
          <t>Opposition</t>
        </is>
      </c>
      <c r="H186" s="14" t="inlineStr">
        <is>
          <t>20</t>
        </is>
      </c>
      <c r="I186" s="14" t="inlineStr">
        <is>
          <t>Nahverkehr/SPNV</t>
        </is>
      </c>
      <c r="J186" s="14" t="inlineStr"/>
      <c r="K186" s="15">
        <f>IF(OR(J186="",LEFT(E186,7)&lt;&gt;"Antwort"),"",IFERROR(A186-INDEX($A$2:$A$293,MATCH(J186,$D$2:$D$293,0)),""))</f>
        <v/>
      </c>
      <c r="L186" s="14">
        <f>IF(E186&lt;&gt;"Kleine Anfrage","",IFERROR(INDEX($D$2:$D$293,MATCH(D186,$J$2:$J$293,0)),"offen"))</f>
        <v/>
      </c>
      <c r="M186" s="14" t="inlineStr">
        <is>
          <t>Höhe der Wertvernichtung durch das Scheitern der Auslandsstrategie der Deutschen Bahn AG im Personennahverkehr</t>
        </is>
      </c>
      <c r="N186" s="14" t="inlineStr">
        <is>
          <t>Fraktion der AfD</t>
        </is>
      </c>
      <c r="O186" s="16" t="inlineStr">
        <is>
          <t>PDF</t>
        </is>
      </c>
      <c r="P186" s="14" t="inlineStr"/>
      <c r="Q186" s="14" t="inlineStr"/>
      <c r="R186" s="14">
        <f>IF(COUNTIF(Abstimmungen!$B$5:$B$2000,D186)-COUNTIFS(Abstimmungen!$B$5:$B$2000,D186,Abstimmungen!$D$5:$D$2000,"*berweisung*")&gt;0,1,0)</f>
        <v/>
      </c>
    </row>
    <row r="187">
      <c r="A187" s="13" t="n">
        <v>45218</v>
      </c>
      <c r="B187" s="14">
        <f>IF(A187="","",YEAR(A187))</f>
        <v/>
      </c>
      <c r="C187" s="14">
        <f>IF(A187="","",YEAR(A187)&amp;"-Q"&amp;ROUNDUP(MONTH(A187)/3,0))</f>
        <v/>
      </c>
      <c r="D187" s="14" t="inlineStr">
        <is>
          <t>20/8945</t>
        </is>
      </c>
      <c r="E187" s="14" t="inlineStr">
        <is>
          <t>Antwort</t>
        </is>
      </c>
      <c r="F187" s="14" t="inlineStr">
        <is>
          <t>Bundesregierung</t>
        </is>
      </c>
      <c r="G187" s="14" t="inlineStr">
        <is>
          <t>Regierung</t>
        </is>
      </c>
      <c r="H187" s="14" t="inlineStr">
        <is>
          <t>20</t>
        </is>
      </c>
      <c r="I187" s="14" t="inlineStr">
        <is>
          <t>Konzernstruktur/DB AG</t>
        </is>
      </c>
      <c r="J187" s="14" t="inlineStr">
        <is>
          <t>20/8250</t>
        </is>
      </c>
      <c r="K187" s="15">
        <f>IF(OR(J187="",LEFT(E187,7)&lt;&gt;"Antwort"),"",IFERROR(A187-INDEX($A$2:$A$293,MATCH(J187,$D$2:$D$293,0)),""))</f>
        <v/>
      </c>
      <c r="L187" s="14">
        <f>IF(E187&lt;&gt;"Kleine Anfrage","",IFERROR(INDEX($D$2:$D$293,MATCH(D187,$J$2:$J$293,0)),"offen"))</f>
        <v/>
      </c>
      <c r="M187" s="14" t="inlineStr">
        <is>
          <t>Reform der Konzernstruktur der Deutsche Bahn Aktiengesellschaft</t>
        </is>
      </c>
      <c r="N187" s="14" t="inlineStr">
        <is>
          <t>Bundesregierung</t>
        </is>
      </c>
      <c r="O187" s="16" t="inlineStr">
        <is>
          <t>PDF</t>
        </is>
      </c>
      <c r="P187" s="14" t="inlineStr">
        <is>
          <t>AfD</t>
        </is>
      </c>
      <c r="Q187" s="14" t="inlineStr"/>
      <c r="R187" s="14">
        <f>IF(COUNTIF(Abstimmungen!$B$5:$B$2000,D187)-COUNTIFS(Abstimmungen!$B$5:$B$2000,D187,Abstimmungen!$D$5:$D$2000,"*berweisung*")&gt;0,1,0)</f>
        <v/>
      </c>
    </row>
    <row r="188">
      <c r="A188" s="13" t="n">
        <v>45211</v>
      </c>
      <c r="B188" s="14">
        <f>IF(A188="","",YEAR(A188))</f>
        <v/>
      </c>
      <c r="C188" s="14">
        <f>IF(A188="","",YEAR(A188)&amp;"-Q"&amp;ROUNDUP(MONTH(A188)/3,0))</f>
        <v/>
      </c>
      <c r="D188" s="14" t="inlineStr">
        <is>
          <t>20/8808</t>
        </is>
      </c>
      <c r="E188" s="14" t="inlineStr">
        <is>
          <t>Kleine Anfrage</t>
        </is>
      </c>
      <c r="F188" s="14" t="inlineStr">
        <is>
          <t>AfD</t>
        </is>
      </c>
      <c r="G188" s="14" t="inlineStr">
        <is>
          <t>Opposition</t>
        </is>
      </c>
      <c r="H188" s="14" t="inlineStr">
        <is>
          <t>20</t>
        </is>
      </c>
      <c r="I188" s="14" t="inlineStr">
        <is>
          <t>Sicherheit</t>
        </is>
      </c>
      <c r="J188" s="14" t="inlineStr"/>
      <c r="K188" s="15">
        <f>IF(OR(J188="",LEFT(E188,7)&lt;&gt;"Antwort"),"",IFERROR(A188-INDEX($A$2:$A$293,MATCH(J188,$D$2:$D$293,0)),""))</f>
        <v/>
      </c>
      <c r="L188" s="14">
        <f>IF(E188&lt;&gt;"Kleine Anfrage","",IFERROR(INDEX($D$2:$D$293,MATCH(D188,$J$2:$J$293,0)),"offen"))</f>
        <v/>
      </c>
      <c r="M188" s="14" t="inlineStr">
        <is>
          <t>Entwicklungen im Bereich der Bahn-Sabotage bei der Deutschen Bahn AG</t>
        </is>
      </c>
      <c r="N188" s="14" t="inlineStr">
        <is>
          <t>Fraktion der AfD</t>
        </is>
      </c>
      <c r="O188" s="16" t="inlineStr">
        <is>
          <t>PDF</t>
        </is>
      </c>
      <c r="P188" s="14" t="inlineStr"/>
      <c r="Q188" s="14" t="inlineStr"/>
      <c r="R188" s="14">
        <f>IF(COUNTIF(Abstimmungen!$B$5:$B$2000,D188)-COUNTIFS(Abstimmungen!$B$5:$B$2000,D188,Abstimmungen!$D$5:$D$2000,"*berweisung*")&gt;0,1,0)</f>
        <v/>
      </c>
    </row>
    <row r="189">
      <c r="A189" s="13" t="n">
        <v>45208</v>
      </c>
      <c r="B189" s="14">
        <f>IF(A189="","",YEAR(A189))</f>
        <v/>
      </c>
      <c r="C189" s="14">
        <f>IF(A189="","",YEAR(A189)&amp;"-Q"&amp;ROUNDUP(MONTH(A189)/3,0))</f>
        <v/>
      </c>
      <c r="D189" s="14" t="inlineStr">
        <is>
          <t>20/8709</t>
        </is>
      </c>
      <c r="E189" s="14" t="inlineStr">
        <is>
          <t>Antwort</t>
        </is>
      </c>
      <c r="F189" s="14" t="inlineStr">
        <is>
          <t>Bundesregierung</t>
        </is>
      </c>
      <c r="G189" s="14" t="inlineStr">
        <is>
          <t>Regierung</t>
        </is>
      </c>
      <c r="H189" s="14" t="inlineStr">
        <is>
          <t>20</t>
        </is>
      </c>
      <c r="I189" s="14" t="inlineStr">
        <is>
          <t>Bahnhoefe; Sicherheit</t>
        </is>
      </c>
      <c r="J189" s="14" t="inlineStr">
        <is>
          <t>20/8446</t>
        </is>
      </c>
      <c r="K189" s="15">
        <f>IF(OR(J189="",LEFT(E189,7)&lt;&gt;"Antwort"),"",IFERROR(A189-INDEX($A$2:$A$293,MATCH(J189,$D$2:$D$293,0)),""))</f>
        <v/>
      </c>
      <c r="L189" s="14">
        <f>IF(E189&lt;&gt;"Kleine Anfrage","",IFERROR(INDEX($D$2:$D$293,MATCH(D189,$J$2:$J$293,0)),"offen"))</f>
        <v/>
      </c>
      <c r="M189" s="14" t="inlineStr">
        <is>
          <t>Unterbringung der Bundespolizei an Bahnhöfen, Flughäfen und Seehäfen sowie Zustand der Dienststellen der Bundespolizei</t>
        </is>
      </c>
      <c r="N189" s="14" t="inlineStr">
        <is>
          <t>Bundesregierung</t>
        </is>
      </c>
      <c r="O189" s="16" t="inlineStr">
        <is>
          <t>PDF</t>
        </is>
      </c>
      <c r="P189" s="14" t="inlineStr">
        <is>
          <t>CDU/CSU</t>
        </is>
      </c>
      <c r="Q189" s="14" t="inlineStr"/>
      <c r="R189" s="14">
        <f>IF(COUNTIF(Abstimmungen!$B$5:$B$2000,D189)-COUNTIFS(Abstimmungen!$B$5:$B$2000,D189,Abstimmungen!$D$5:$D$2000,"*berweisung*")&gt;0,1,0)</f>
        <v/>
      </c>
    </row>
    <row r="190">
      <c r="A190" s="13" t="n">
        <v>45198</v>
      </c>
      <c r="B190" s="14">
        <f>IF(A190="","",YEAR(A190))</f>
        <v/>
      </c>
      <c r="C190" s="14">
        <f>IF(A190="","",YEAR(A190)&amp;"-Q"&amp;ROUNDUP(MONTH(A190)/3,0))</f>
        <v/>
      </c>
      <c r="D190" s="14" t="inlineStr">
        <is>
          <t>20/8594</t>
        </is>
      </c>
      <c r="E190" s="14" t="inlineStr">
        <is>
          <t>Antwort</t>
        </is>
      </c>
      <c r="F190" s="14" t="inlineStr">
        <is>
          <t>Bundesregierung</t>
        </is>
      </c>
      <c r="G190" s="14" t="inlineStr">
        <is>
          <t>Regierung</t>
        </is>
      </c>
      <c r="H190" s="14" t="inlineStr">
        <is>
          <t>20</t>
        </is>
      </c>
      <c r="I190" s="14" t="inlineStr">
        <is>
          <t>Bahnhoefe</t>
        </is>
      </c>
      <c r="J190" s="14" t="inlineStr">
        <is>
          <t>20/8185</t>
        </is>
      </c>
      <c r="K190" s="15">
        <f>IF(OR(J190="",LEFT(E190,7)&lt;&gt;"Antwort"),"",IFERROR(A190-INDEX($A$2:$A$293,MATCH(J190,$D$2:$D$293,0)),""))</f>
        <v/>
      </c>
      <c r="L190" s="14">
        <f>IF(E190&lt;&gt;"Kleine Anfrage","",IFERROR(INDEX($D$2:$D$293,MATCH(D190,$J$2:$J$293,0)),"offen"))</f>
        <v/>
      </c>
      <c r="M190" s="14" t="inlineStr">
        <is>
          <t>Versorgung mit drahtlosen Netzzugangspunkten (WLAN) auf Bahnhöfen und in Zügen der im Bundeseigentum stehenden Deutschen Bahn</t>
        </is>
      </c>
      <c r="N190" s="14" t="inlineStr">
        <is>
          <t>Bundesregierung</t>
        </is>
      </c>
      <c r="O190" s="16" t="inlineStr">
        <is>
          <t>PDF</t>
        </is>
      </c>
      <c r="P190" s="14" t="inlineStr">
        <is>
          <t>AfD</t>
        </is>
      </c>
      <c r="Q190" s="14" t="inlineStr"/>
      <c r="R190" s="14">
        <f>IF(COUNTIF(Abstimmungen!$B$5:$B$2000,D190)-COUNTIFS(Abstimmungen!$B$5:$B$2000,D190,Abstimmungen!$D$5:$D$2000,"*berweisung*")&gt;0,1,0)</f>
        <v/>
      </c>
    </row>
    <row r="191">
      <c r="A191" s="13" t="n">
        <v>45198</v>
      </c>
      <c r="B191" s="14">
        <f>IF(A191="","",YEAR(A191))</f>
        <v/>
      </c>
      <c r="C191" s="14">
        <f>IF(A191="","",YEAR(A191)&amp;"-Q"&amp;ROUNDUP(MONTH(A191)/3,0))</f>
        <v/>
      </c>
      <c r="D191" s="14" t="inlineStr">
        <is>
          <t>20/8621</t>
        </is>
      </c>
      <c r="E191" s="14" t="inlineStr">
        <is>
          <t>Kleine Anfrage</t>
        </is>
      </c>
      <c r="F191" s="14" t="inlineStr">
        <is>
          <t>CDU/CSU</t>
        </is>
      </c>
      <c r="G191" s="14" t="inlineStr">
        <is>
          <t>Opposition</t>
        </is>
      </c>
      <c r="H191" s="14" t="inlineStr">
        <is>
          <t>20</t>
        </is>
      </c>
      <c r="I191" s="14" t="inlineStr">
        <is>
          <t>Bahnhoefe</t>
        </is>
      </c>
      <c r="J191" s="14" t="inlineStr"/>
      <c r="K191" s="15">
        <f>IF(OR(J191="",LEFT(E191,7)&lt;&gt;"Antwort"),"",IFERROR(A191-INDEX($A$2:$A$293,MATCH(J191,$D$2:$D$293,0)),""))</f>
        <v/>
      </c>
      <c r="L191" s="14">
        <f>IF(E191&lt;&gt;"Kleine Anfrage","",IFERROR(INDEX($D$2:$D$293,MATCH(D191,$J$2:$J$293,0)),"offen"))</f>
        <v/>
      </c>
      <c r="M191" s="14" t="inlineStr">
        <is>
          <t>Zustand der Bahnhöfe in Deutschland</t>
        </is>
      </c>
      <c r="N191" s="14" t="inlineStr">
        <is>
          <t>Fraktion der CDU/CSU</t>
        </is>
      </c>
      <c r="O191" s="16" t="inlineStr">
        <is>
          <t>PDF</t>
        </is>
      </c>
      <c r="P191" s="14" t="inlineStr"/>
      <c r="Q191" s="14" t="inlineStr"/>
      <c r="R191" s="14">
        <f>IF(COUNTIF(Abstimmungen!$B$5:$B$2000,D191)-COUNTIFS(Abstimmungen!$B$5:$B$2000,D191,Abstimmungen!$D$5:$D$2000,"*berweisung*")&gt;0,1,0)</f>
        <v/>
      </c>
    </row>
    <row r="192">
      <c r="A192" s="13" t="n">
        <v>45196</v>
      </c>
      <c r="B192" s="14">
        <f>IF(A192="","",YEAR(A192))</f>
        <v/>
      </c>
      <c r="C192" s="14">
        <f>IF(A192="","",YEAR(A192)&amp;"-Q"&amp;ROUNDUP(MONTH(A192)/3,0))</f>
        <v/>
      </c>
      <c r="D192" s="14" t="inlineStr">
        <is>
          <t>20/8539</t>
        </is>
      </c>
      <c r="E192" s="14" t="inlineStr">
        <is>
          <t>Kleine Anfrage</t>
        </is>
      </c>
      <c r="F192" s="14" t="inlineStr">
        <is>
          <t>CDU/CSU</t>
        </is>
      </c>
      <c r="G192" s="14" t="inlineStr">
        <is>
          <t>Opposition</t>
        </is>
      </c>
      <c r="H192" s="14" t="inlineStr">
        <is>
          <t>20</t>
        </is>
      </c>
      <c r="I192" s="14" t="inlineStr">
        <is>
          <t>Konzernstruktur/DB AG</t>
        </is>
      </c>
      <c r="J192" s="14" t="inlineStr"/>
      <c r="K192" s="15">
        <f>IF(OR(J192="",LEFT(E192,7)&lt;&gt;"Antwort"),"",IFERROR(A192-INDEX($A$2:$A$293,MATCH(J192,$D$2:$D$293,0)),""))</f>
        <v/>
      </c>
      <c r="L192" s="14">
        <f>IF(E192&lt;&gt;"Kleine Anfrage","",IFERROR(INDEX($D$2:$D$293,MATCH(D192,$J$2:$J$293,0)),"offen"))</f>
        <v/>
      </c>
      <c r="M192" s="14" t="inlineStr">
        <is>
          <t>Schuldenlast und Zukunftsfähigkeit der Deutsche Bahn AG</t>
        </is>
      </c>
      <c r="N192" s="14" t="inlineStr">
        <is>
          <t>Fraktion der CDU/CSU</t>
        </is>
      </c>
      <c r="O192" s="16" t="inlineStr">
        <is>
          <t>PDF</t>
        </is>
      </c>
      <c r="P192" s="14" t="inlineStr"/>
      <c r="Q192" s="14" t="inlineStr"/>
      <c r="R192" s="14">
        <f>IF(COUNTIF(Abstimmungen!$B$5:$B$2000,D192)-COUNTIFS(Abstimmungen!$B$5:$B$2000,D192,Abstimmungen!$D$5:$D$2000,"*berweisung*")&gt;0,1,0)</f>
        <v/>
      </c>
    </row>
    <row r="193">
      <c r="A193" s="13" t="n">
        <v>45190</v>
      </c>
      <c r="B193" s="14">
        <f>IF(A193="","",YEAR(A193))</f>
        <v/>
      </c>
      <c r="C193" s="14">
        <f>IF(A193="","",YEAR(A193)&amp;"-Q"&amp;ROUNDUP(MONTH(A193)/3,0))</f>
        <v/>
      </c>
      <c r="D193" s="14" t="inlineStr">
        <is>
          <t>20/8446</t>
        </is>
      </c>
      <c r="E193" s="14" t="inlineStr">
        <is>
          <t>Kleine Anfrage</t>
        </is>
      </c>
      <c r="F193" s="14" t="inlineStr">
        <is>
          <t>CDU/CSU</t>
        </is>
      </c>
      <c r="G193" s="14" t="inlineStr">
        <is>
          <t>Opposition</t>
        </is>
      </c>
      <c r="H193" s="14" t="inlineStr">
        <is>
          <t>20</t>
        </is>
      </c>
      <c r="I193" s="14" t="inlineStr">
        <is>
          <t>Bahnhoefe; Sicherheit</t>
        </is>
      </c>
      <c r="J193" s="14" t="inlineStr"/>
      <c r="K193" s="15">
        <f>IF(OR(J193="",LEFT(E193,7)&lt;&gt;"Antwort"),"",IFERROR(A193-INDEX($A$2:$A$293,MATCH(J193,$D$2:$D$293,0)),""))</f>
        <v/>
      </c>
      <c r="L193" s="14">
        <f>IF(E193&lt;&gt;"Kleine Anfrage","",IFERROR(INDEX($D$2:$D$293,MATCH(D193,$J$2:$J$293,0)),"offen"))</f>
        <v/>
      </c>
      <c r="M193" s="14" t="inlineStr">
        <is>
          <t>Unterbringung der Bundespolizei an Bahnhöfen, Flughäfen und Seehäfen sowie Zustand der Dienststellen der Bundespolizei</t>
        </is>
      </c>
      <c r="N193" s="14" t="inlineStr">
        <is>
          <t>Fraktion der CDU/CSU</t>
        </is>
      </c>
      <c r="O193" s="16" t="inlineStr">
        <is>
          <t>PDF</t>
        </is>
      </c>
      <c r="P193" s="14" t="inlineStr"/>
      <c r="Q193" s="14" t="inlineStr"/>
      <c r="R193" s="14">
        <f>IF(COUNTIF(Abstimmungen!$B$5:$B$2000,D193)-COUNTIFS(Abstimmungen!$B$5:$B$2000,D193,Abstimmungen!$D$5:$D$2000,"*berweisung*")&gt;0,1,0)</f>
        <v/>
      </c>
    </row>
    <row r="194">
      <c r="A194" s="13" t="n">
        <v>45180</v>
      </c>
      <c r="B194" s="14">
        <f>IF(A194="","",YEAR(A194))</f>
        <v/>
      </c>
      <c r="C194" s="14">
        <f>IF(A194="","",YEAR(A194)&amp;"-Q"&amp;ROUNDUP(MONTH(A194)/3,0))</f>
        <v/>
      </c>
      <c r="D194" s="14" t="inlineStr">
        <is>
          <t>20/8325</t>
        </is>
      </c>
      <c r="E194" s="14" t="inlineStr">
        <is>
          <t>Antwort</t>
        </is>
      </c>
      <c r="F194" s="14" t="inlineStr">
        <is>
          <t>Bundesregierung</t>
        </is>
      </c>
      <c r="G194" s="14" t="inlineStr">
        <is>
          <t>Regierung</t>
        </is>
      </c>
      <c r="H194" s="14" t="inlineStr">
        <is>
          <t>20</t>
        </is>
      </c>
      <c r="I194" s="14" t="inlineStr">
        <is>
          <t>Sonstiges</t>
        </is>
      </c>
      <c r="J194" s="14" t="inlineStr">
        <is>
          <t>20/7973</t>
        </is>
      </c>
      <c r="K194" s="15">
        <f>IF(OR(J194="",LEFT(E194,7)&lt;&gt;"Antwort"),"",IFERROR(A194-INDEX($A$2:$A$293,MATCH(J194,$D$2:$D$293,0)),""))</f>
        <v/>
      </c>
      <c r="L194" s="14">
        <f>IF(E194&lt;&gt;"Kleine Anfrage","",IFERROR(INDEX($D$2:$D$293,MATCH(D194,$J$2:$J$293,0)),"offen"))</f>
        <v/>
      </c>
      <c r="M194" s="14" t="inlineStr">
        <is>
          <t>Aktueller Stand zur geplanten "Gemeinwohlorientierten Infrastruktursparte" der Deutschen Bahn AG (Nachfrage zur Antwort der Bundesregierung auf die Kleine Anfrage auf Bundestagsdrucksache 20/7487)</t>
        </is>
      </c>
      <c r="N194" s="14" t="inlineStr">
        <is>
          <t>Bundesregierung</t>
        </is>
      </c>
      <c r="O194" s="16" t="inlineStr">
        <is>
          <t>PDF</t>
        </is>
      </c>
      <c r="P194" s="14" t="inlineStr">
        <is>
          <t>CDU/CSU</t>
        </is>
      </c>
      <c r="Q194" s="14" t="inlineStr"/>
      <c r="R194" s="14">
        <f>IF(COUNTIF(Abstimmungen!$B$5:$B$2000,D194)-COUNTIFS(Abstimmungen!$B$5:$B$2000,D194,Abstimmungen!$D$5:$D$2000,"*berweisung*")&gt;0,1,0)</f>
        <v/>
      </c>
    </row>
    <row r="195">
      <c r="A195" s="13" t="n">
        <v>45176</v>
      </c>
      <c r="B195" s="14">
        <f>IF(A195="","",YEAR(A195))</f>
        <v/>
      </c>
      <c r="C195" s="14">
        <f>IF(A195="","",YEAR(A195)&amp;"-Q"&amp;ROUNDUP(MONTH(A195)/3,0))</f>
        <v/>
      </c>
      <c r="D195" s="14" t="inlineStr">
        <is>
          <t>20/8250</t>
        </is>
      </c>
      <c r="E195" s="14" t="inlineStr">
        <is>
          <t>Kleine Anfrage</t>
        </is>
      </c>
      <c r="F195" s="14" t="inlineStr">
        <is>
          <t>AfD</t>
        </is>
      </c>
      <c r="G195" s="14" t="inlineStr">
        <is>
          <t>Opposition</t>
        </is>
      </c>
      <c r="H195" s="14" t="inlineStr">
        <is>
          <t>20</t>
        </is>
      </c>
      <c r="I195" s="14" t="inlineStr">
        <is>
          <t>Konzernstruktur/DB AG</t>
        </is>
      </c>
      <c r="J195" s="14" t="inlineStr"/>
      <c r="K195" s="15">
        <f>IF(OR(J195="",LEFT(E195,7)&lt;&gt;"Antwort"),"",IFERROR(A195-INDEX($A$2:$A$293,MATCH(J195,$D$2:$D$293,0)),""))</f>
        <v/>
      </c>
      <c r="L195" s="14">
        <f>IF(E195&lt;&gt;"Kleine Anfrage","",IFERROR(INDEX($D$2:$D$293,MATCH(D195,$J$2:$J$293,0)),"offen"))</f>
        <v/>
      </c>
      <c r="M195" s="14" t="inlineStr">
        <is>
          <t>Reform der Konzernstruktur der Deutsche Bahn Aktiengesellschaft</t>
        </is>
      </c>
      <c r="N195" s="14" t="inlineStr">
        <is>
          <t>Fraktion der AfD</t>
        </is>
      </c>
      <c r="O195" s="16" t="inlineStr">
        <is>
          <t>PDF</t>
        </is>
      </c>
      <c r="P195" s="14" t="inlineStr"/>
      <c r="Q195" s="14" t="inlineStr"/>
      <c r="R195" s="14">
        <f>IF(COUNTIF(Abstimmungen!$B$5:$B$2000,D195)-COUNTIFS(Abstimmungen!$B$5:$B$2000,D195,Abstimmungen!$D$5:$D$2000,"*berweisung*")&gt;0,1,0)</f>
        <v/>
      </c>
    </row>
    <row r="196">
      <c r="A196" s="13" t="n">
        <v>45169</v>
      </c>
      <c r="B196" s="14">
        <f>IF(A196="","",YEAR(A196))</f>
        <v/>
      </c>
      <c r="C196" s="14">
        <f>IF(A196="","",YEAR(A196)&amp;"-Q"&amp;ROUNDUP(MONTH(A196)/3,0))</f>
        <v/>
      </c>
      <c r="D196" s="14" t="inlineStr">
        <is>
          <t>20/8185</t>
        </is>
      </c>
      <c r="E196" s="14" t="inlineStr">
        <is>
          <t>Kleine Anfrage</t>
        </is>
      </c>
      <c r="F196" s="14" t="inlineStr">
        <is>
          <t>AfD</t>
        </is>
      </c>
      <c r="G196" s="14" t="inlineStr">
        <is>
          <t>Opposition</t>
        </is>
      </c>
      <c r="H196" s="14" t="inlineStr">
        <is>
          <t>20</t>
        </is>
      </c>
      <c r="I196" s="14" t="inlineStr">
        <is>
          <t>Bahnhoefe</t>
        </is>
      </c>
      <c r="J196" s="14" t="inlineStr"/>
      <c r="K196" s="15">
        <f>IF(OR(J196="",LEFT(E196,7)&lt;&gt;"Antwort"),"",IFERROR(A196-INDEX($A$2:$A$293,MATCH(J196,$D$2:$D$293,0)),""))</f>
        <v/>
      </c>
      <c r="L196" s="14">
        <f>IF(E196&lt;&gt;"Kleine Anfrage","",IFERROR(INDEX($D$2:$D$293,MATCH(D196,$J$2:$J$293,0)),"offen"))</f>
        <v/>
      </c>
      <c r="M196" s="14" t="inlineStr">
        <is>
          <t>Versorgung mit drahtlosen Netzzugangspunkten (WLAN) auf Bahnhöfen und in Zügen der im Bundeseigentum stehenden Deutschen Bahn</t>
        </is>
      </c>
      <c r="N196" s="14" t="inlineStr">
        <is>
          <t>Fraktion der AfD</t>
        </is>
      </c>
      <c r="O196" s="16" t="inlineStr">
        <is>
          <t>PDF</t>
        </is>
      </c>
      <c r="P196" s="14" t="inlineStr"/>
      <c r="Q196" s="14" t="inlineStr"/>
      <c r="R196" s="14">
        <f>IF(COUNTIF(Abstimmungen!$B$5:$B$2000,D196)-COUNTIFS(Abstimmungen!$B$5:$B$2000,D196,Abstimmungen!$D$5:$D$2000,"*berweisung*")&gt;0,1,0)</f>
        <v/>
      </c>
    </row>
    <row r="197">
      <c r="A197" s="13" t="n">
        <v>45163</v>
      </c>
      <c r="B197" s="14">
        <f>IF(A197="","",YEAR(A197))</f>
        <v/>
      </c>
      <c r="C197" s="14">
        <f>IF(A197="","",YEAR(A197)&amp;"-Q"&amp;ROUNDUP(MONTH(A197)/3,0))</f>
        <v/>
      </c>
      <c r="D197" s="14" t="inlineStr">
        <is>
          <t>20/8124</t>
        </is>
      </c>
      <c r="E197" s="14" t="inlineStr">
        <is>
          <t>Antwort</t>
        </is>
      </c>
      <c r="F197" s="14" t="inlineStr">
        <is>
          <t>Bundesregierung</t>
        </is>
      </c>
      <c r="G197" s="14" t="inlineStr">
        <is>
          <t>Regierung</t>
        </is>
      </c>
      <c r="H197" s="14" t="inlineStr">
        <is>
          <t>20</t>
        </is>
      </c>
      <c r="I197" s="14" t="inlineStr">
        <is>
          <t>Bahnhoefe; Kriminalitaet</t>
        </is>
      </c>
      <c r="J197" s="14" t="inlineStr">
        <is>
          <t>20/7989</t>
        </is>
      </c>
      <c r="K197" s="15">
        <f>IF(OR(J197="",LEFT(E197,7)&lt;&gt;"Antwort"),"",IFERROR(A197-INDEX($A$2:$A$293,MATCH(J197,$D$2:$D$293,0)),""))</f>
        <v/>
      </c>
      <c r="L197" s="14">
        <f>IF(E197&lt;&gt;"Kleine Anfrage","",IFERROR(INDEX($D$2:$D$293,MATCH(D197,$J$2:$J$293,0)),"offen"))</f>
        <v/>
      </c>
      <c r="M197" s="14" t="inlineStr">
        <is>
          <t>Kriminalitätsfelder in Bezug auf Bahnhöfe in Baden-Württemberg im ersten Halbjahr 2023</t>
        </is>
      </c>
      <c r="N197" s="14" t="inlineStr">
        <is>
          <t>Bundesregierung</t>
        </is>
      </c>
      <c r="O197" s="16" t="inlineStr">
        <is>
          <t>PDF</t>
        </is>
      </c>
      <c r="P197" s="14" t="inlineStr">
        <is>
          <t>AfD</t>
        </is>
      </c>
      <c r="Q197" s="14" t="inlineStr"/>
      <c r="R197" s="14">
        <f>IF(COUNTIF(Abstimmungen!$B$5:$B$2000,D197)-COUNTIFS(Abstimmungen!$B$5:$B$2000,D197,Abstimmungen!$D$5:$D$2000,"*berweisung*")&gt;0,1,0)</f>
        <v/>
      </c>
    </row>
    <row r="198">
      <c r="A198" s="13" t="n">
        <v>45163</v>
      </c>
      <c r="B198" s="14">
        <f>IF(A198="","",YEAR(A198))</f>
        <v/>
      </c>
      <c r="C198" s="14">
        <f>IF(A198="","",YEAR(A198)&amp;"-Q"&amp;ROUNDUP(MONTH(A198)/3,0))</f>
        <v/>
      </c>
      <c r="D198" s="14" t="inlineStr">
        <is>
          <t>20/8119</t>
        </is>
      </c>
      <c r="E198" s="14" t="inlineStr">
        <is>
          <t>Antwort</t>
        </is>
      </c>
      <c r="F198" s="14" t="inlineStr">
        <is>
          <t>Bundesregierung</t>
        </is>
      </c>
      <c r="G198" s="14" t="inlineStr">
        <is>
          <t>Regierung</t>
        </is>
      </c>
      <c r="H198" s="14" t="inlineStr">
        <is>
          <t>20</t>
        </is>
      </c>
      <c r="I198" s="14" t="inlineStr">
        <is>
          <t>Bahnhoefe; Kriminalitaet</t>
        </is>
      </c>
      <c r="J198" s="14" t="inlineStr">
        <is>
          <t>20/7927</t>
        </is>
      </c>
      <c r="K198" s="15">
        <f>IF(OR(J198="",LEFT(E198,7)&lt;&gt;"Antwort"),"",IFERROR(A198-INDEX($A$2:$A$293,MATCH(J198,$D$2:$D$293,0)),""))</f>
        <v/>
      </c>
      <c r="L198" s="14">
        <f>IF(E198&lt;&gt;"Kleine Anfrage","",IFERROR(INDEX($D$2:$D$293,MATCH(D198,$J$2:$J$293,0)),"offen"))</f>
        <v/>
      </c>
      <c r="M198" s="14" t="inlineStr">
        <is>
          <t>Kriminalitätsfelder in Bezug auf Bahnhöfe und Züge im ersten Halbjahr 2023</t>
        </is>
      </c>
      <c r="N198" s="14" t="inlineStr">
        <is>
          <t>Bundesregierung</t>
        </is>
      </c>
      <c r="O198" s="16" t="inlineStr">
        <is>
          <t>PDF</t>
        </is>
      </c>
      <c r="P198" s="14" t="inlineStr">
        <is>
          <t>AfD</t>
        </is>
      </c>
      <c r="Q198" s="14" t="inlineStr"/>
      <c r="R198" s="14">
        <f>IF(COUNTIF(Abstimmungen!$B$5:$B$2000,D198)-COUNTIFS(Abstimmungen!$B$5:$B$2000,D198,Abstimmungen!$D$5:$D$2000,"*berweisung*")&gt;0,1,0)</f>
        <v/>
      </c>
    </row>
    <row r="199">
      <c r="A199" s="13" t="n">
        <v>45161</v>
      </c>
      <c r="B199" s="14">
        <f>IF(A199="","",YEAR(A199))</f>
        <v/>
      </c>
      <c r="C199" s="14">
        <f>IF(A199="","",YEAR(A199)&amp;"-Q"&amp;ROUNDUP(MONTH(A199)/3,0))</f>
        <v/>
      </c>
      <c r="D199" s="14" t="inlineStr">
        <is>
          <t>20/8102</t>
        </is>
      </c>
      <c r="E199" s="14" t="inlineStr">
        <is>
          <t>Antwort</t>
        </is>
      </c>
      <c r="F199" s="14" t="inlineStr">
        <is>
          <t>Bundesregierung</t>
        </is>
      </c>
      <c r="G199" s="14" t="inlineStr">
        <is>
          <t>Regierung</t>
        </is>
      </c>
      <c r="H199" s="14" t="inlineStr">
        <is>
          <t>20</t>
        </is>
      </c>
      <c r="I199" s="14" t="inlineStr">
        <is>
          <t>Bahnhoefe; Kriminalitaet</t>
        </is>
      </c>
      <c r="J199" s="14" t="inlineStr">
        <is>
          <t>20/7926</t>
        </is>
      </c>
      <c r="K199" s="15">
        <f>IF(OR(J199="",LEFT(E199,7)&lt;&gt;"Antwort"),"",IFERROR(A199-INDEX($A$2:$A$293,MATCH(J199,$D$2:$D$293,0)),""))</f>
        <v/>
      </c>
      <c r="L199" s="14">
        <f>IF(E199&lt;&gt;"Kleine Anfrage","",IFERROR(INDEX($D$2:$D$293,MATCH(D199,$J$2:$J$293,0)),"offen"))</f>
        <v/>
      </c>
      <c r="M199" s="14" t="inlineStr">
        <is>
          <t>Kriminalitätsfelder in Bezug auf Bahnhöfe in Hessen im ersten Halbjahr 2023</t>
        </is>
      </c>
      <c r="N199" s="14" t="inlineStr">
        <is>
          <t>Bundesregierung</t>
        </is>
      </c>
      <c r="O199" s="16" t="inlineStr">
        <is>
          <t>PDF</t>
        </is>
      </c>
      <c r="P199" s="14" t="inlineStr">
        <is>
          <t>AfD</t>
        </is>
      </c>
      <c r="Q199" s="14" t="inlineStr"/>
      <c r="R199" s="14">
        <f>IF(COUNTIF(Abstimmungen!$B$5:$B$2000,D199)-COUNTIFS(Abstimmungen!$B$5:$B$2000,D199,Abstimmungen!$D$5:$D$2000,"*berweisung*")&gt;0,1,0)</f>
        <v/>
      </c>
    </row>
    <row r="200">
      <c r="A200" s="13" t="n">
        <v>45149</v>
      </c>
      <c r="B200" s="14">
        <f>IF(A200="","",YEAR(A200))</f>
        <v/>
      </c>
      <c r="C200" s="14">
        <f>IF(A200="","",YEAR(A200)&amp;"-Q"&amp;ROUNDUP(MONTH(A200)/3,0))</f>
        <v/>
      </c>
      <c r="D200" s="14" t="inlineStr">
        <is>
          <t>20/7950</t>
        </is>
      </c>
      <c r="E200" s="14" t="inlineStr">
        <is>
          <t>Unterrichtung</t>
        </is>
      </c>
      <c r="F200" s="14" t="inlineStr">
        <is>
          <t>Bundesnetzagentur für Elektrizität, Gas, Telekommunikation, Post und Eisenbahnen</t>
        </is>
      </c>
      <c r="G200" s="14" t="inlineStr">
        <is>
          <t>Sonstige</t>
        </is>
      </c>
      <c r="H200" s="14" t="inlineStr">
        <is>
          <t>20</t>
        </is>
      </c>
      <c r="I200" s="14" t="inlineStr">
        <is>
          <t>Sonstiges</t>
        </is>
      </c>
      <c r="J200" s="14" t="inlineStr"/>
      <c r="K200" s="15">
        <f>IF(OR(J200="",LEFT(E200,7)&lt;&gt;"Antwort"),"",IFERROR(A200-INDEX($A$2:$A$293,MATCH(J200,$D$2:$D$293,0)),""))</f>
        <v/>
      </c>
      <c r="L200" s="14">
        <f>IF(E200&lt;&gt;"Kleine Anfrage","",IFERROR(INDEX($D$2:$D$293,MATCH(D200,$J$2:$J$293,0)),"offen"))</f>
        <v/>
      </c>
      <c r="M200" s="14" t="inlineStr">
        <is>
          <t>Tätigkeitsbericht der Bundesnetzagentur - Eisenbahnen 2021/2022</t>
        </is>
      </c>
      <c r="N200" s="14" t="inlineStr">
        <is>
          <t>Bundesnetzagentur für Elektrizität, Gas, Telekommunikation, Post und Eisenbahnen</t>
        </is>
      </c>
      <c r="O200" s="16" t="inlineStr">
        <is>
          <t>PDF</t>
        </is>
      </c>
      <c r="P200" s="14" t="inlineStr"/>
      <c r="Q200" s="14" t="inlineStr"/>
      <c r="R200" s="14">
        <f>IF(COUNTIF(Abstimmungen!$B$5:$B$2000,D200)-COUNTIFS(Abstimmungen!$B$5:$B$2000,D200,Abstimmungen!$D$5:$D$2000,"*berweisung*")&gt;0,1,0)</f>
        <v/>
      </c>
    </row>
    <row r="201">
      <c r="A201" s="13" t="n">
        <v>45146</v>
      </c>
      <c r="B201" s="14">
        <f>IF(A201="","",YEAR(A201))</f>
        <v/>
      </c>
      <c r="C201" s="14">
        <f>IF(A201="","",YEAR(A201)&amp;"-Q"&amp;ROUNDUP(MONTH(A201)/3,0))</f>
        <v/>
      </c>
      <c r="D201" s="14" t="inlineStr">
        <is>
          <t>20/7973</t>
        </is>
      </c>
      <c r="E201" s="14" t="inlineStr">
        <is>
          <t>Kleine Anfrage</t>
        </is>
      </c>
      <c r="F201" s="14" t="inlineStr">
        <is>
          <t>CDU/CSU</t>
        </is>
      </c>
      <c r="G201" s="14" t="inlineStr">
        <is>
          <t>Opposition</t>
        </is>
      </c>
      <c r="H201" s="14" t="inlineStr">
        <is>
          <t>20</t>
        </is>
      </c>
      <c r="I201" s="14" t="inlineStr">
        <is>
          <t>Sonstiges</t>
        </is>
      </c>
      <c r="J201" s="14" t="inlineStr"/>
      <c r="K201" s="15">
        <f>IF(OR(J201="",LEFT(E201,7)&lt;&gt;"Antwort"),"",IFERROR(A201-INDEX($A$2:$A$293,MATCH(J201,$D$2:$D$293,0)),""))</f>
        <v/>
      </c>
      <c r="L201" s="14">
        <f>IF(E201&lt;&gt;"Kleine Anfrage","",IFERROR(INDEX($D$2:$D$293,MATCH(D201,$J$2:$J$293,0)),"offen"))</f>
        <v/>
      </c>
      <c r="M201" s="14" t="inlineStr">
        <is>
          <t>Aktueller Stand zur geplanten "Gemeinwohlorientierten Infrastruktursparte" der Deutschen Bahn AG (Nachfrage zur Antwort der Bundesregierung auf die Kleine Anfrage auf Bundestagsdrucksache 20/7487)</t>
        </is>
      </c>
      <c r="N201" s="14" t="inlineStr">
        <is>
          <t>Fraktion der CDU/CSU</t>
        </is>
      </c>
      <c r="O201" s="16" t="inlineStr">
        <is>
          <t>PDF</t>
        </is>
      </c>
      <c r="P201" s="14" t="inlineStr"/>
      <c r="Q201" s="14" t="inlineStr"/>
      <c r="R201" s="14">
        <f>IF(COUNTIF(Abstimmungen!$B$5:$B$2000,D201)-COUNTIFS(Abstimmungen!$B$5:$B$2000,D201,Abstimmungen!$D$5:$D$2000,"*berweisung*")&gt;0,1,0)</f>
        <v/>
      </c>
    </row>
    <row r="202">
      <c r="A202" s="13" t="n">
        <v>45146</v>
      </c>
      <c r="B202" s="14">
        <f>IF(A202="","",YEAR(A202))</f>
        <v/>
      </c>
      <c r="C202" s="14">
        <f>IF(A202="","",YEAR(A202)&amp;"-Q"&amp;ROUNDUP(MONTH(A202)/3,0))</f>
        <v/>
      </c>
      <c r="D202" s="14" t="inlineStr">
        <is>
          <t>20/7989</t>
        </is>
      </c>
      <c r="E202" s="14" t="inlineStr">
        <is>
          <t>Kleine Anfrage</t>
        </is>
      </c>
      <c r="F202" s="14" t="inlineStr">
        <is>
          <t>AfD</t>
        </is>
      </c>
      <c r="G202" s="14" t="inlineStr">
        <is>
          <t>Opposition</t>
        </is>
      </c>
      <c r="H202" s="14" t="inlineStr">
        <is>
          <t>20</t>
        </is>
      </c>
      <c r="I202" s="14" t="inlineStr">
        <is>
          <t>Bahnhoefe; Kriminalitaet</t>
        </is>
      </c>
      <c r="J202" s="14" t="inlineStr"/>
      <c r="K202" s="15">
        <f>IF(OR(J202="",LEFT(E202,7)&lt;&gt;"Antwort"),"",IFERROR(A202-INDEX($A$2:$A$293,MATCH(J202,$D$2:$D$293,0)),""))</f>
        <v/>
      </c>
      <c r="L202" s="14">
        <f>IF(E202&lt;&gt;"Kleine Anfrage","",IFERROR(INDEX($D$2:$D$293,MATCH(D202,$J$2:$J$293,0)),"offen"))</f>
        <v/>
      </c>
      <c r="M202" s="14" t="inlineStr">
        <is>
          <t>Kriminalitätsfelder in Bezug auf Bahnhöfe in Baden-Württemberg im ersten Halbjahr 2023</t>
        </is>
      </c>
      <c r="N202" s="14" t="inlineStr">
        <is>
          <t>Fraktion der AfD</t>
        </is>
      </c>
      <c r="O202" s="16" t="inlineStr">
        <is>
          <t>PDF</t>
        </is>
      </c>
      <c r="P202" s="14" t="inlineStr"/>
      <c r="Q202" s="14" t="inlineStr">
        <is>
          <t>Bahnhöfe / Kriminalitätsfelder</t>
        </is>
      </c>
      <c r="R202" s="14">
        <f>IF(COUNTIF(Abstimmungen!$B$5:$B$2000,D202)-COUNTIFS(Abstimmungen!$B$5:$B$2000,D202,Abstimmungen!$D$5:$D$2000,"*berweisung*")&gt;0,1,0)</f>
        <v/>
      </c>
    </row>
    <row r="203">
      <c r="A203" s="13" t="n">
        <v>45141</v>
      </c>
      <c r="B203" s="14">
        <f>IF(A203="","",YEAR(A203))</f>
        <v/>
      </c>
      <c r="C203" s="14">
        <f>IF(A203="","",YEAR(A203)&amp;"-Q"&amp;ROUNDUP(MONTH(A203)/3,0))</f>
        <v/>
      </c>
      <c r="D203" s="14" t="inlineStr">
        <is>
          <t>20/7927</t>
        </is>
      </c>
      <c r="E203" s="14" t="inlineStr">
        <is>
          <t>Kleine Anfrage</t>
        </is>
      </c>
      <c r="F203" s="14" t="inlineStr">
        <is>
          <t>AfD</t>
        </is>
      </c>
      <c r="G203" s="14" t="inlineStr">
        <is>
          <t>Opposition</t>
        </is>
      </c>
      <c r="H203" s="14" t="inlineStr">
        <is>
          <t>20</t>
        </is>
      </c>
      <c r="I203" s="14" t="inlineStr">
        <is>
          <t>Bahnhoefe; Kriminalitaet</t>
        </is>
      </c>
      <c r="J203" s="14" t="inlineStr"/>
      <c r="K203" s="15">
        <f>IF(OR(J203="",LEFT(E203,7)&lt;&gt;"Antwort"),"",IFERROR(A203-INDEX($A$2:$A$293,MATCH(J203,$D$2:$D$293,0)),""))</f>
        <v/>
      </c>
      <c r="L203" s="14">
        <f>IF(E203&lt;&gt;"Kleine Anfrage","",IFERROR(INDEX($D$2:$D$293,MATCH(D203,$J$2:$J$293,0)),"offen"))</f>
        <v/>
      </c>
      <c r="M203" s="14" t="inlineStr">
        <is>
          <t>Kriminalitätsfelder in Bezug auf Bahnhöfe und Züge im ersten Halbjahr 2023</t>
        </is>
      </c>
      <c r="N203" s="14" t="inlineStr">
        <is>
          <t>Fraktion der AfD</t>
        </is>
      </c>
      <c r="O203" s="16" t="inlineStr">
        <is>
          <t>PDF</t>
        </is>
      </c>
      <c r="P203" s="14" t="inlineStr"/>
      <c r="Q203" s="14" t="inlineStr">
        <is>
          <t>Bahnhöfe / Kriminalitätsfelder</t>
        </is>
      </c>
      <c r="R203" s="14">
        <f>IF(COUNTIF(Abstimmungen!$B$5:$B$2000,D203)-COUNTIFS(Abstimmungen!$B$5:$B$2000,D203,Abstimmungen!$D$5:$D$2000,"*berweisung*")&gt;0,1,0)</f>
        <v/>
      </c>
    </row>
    <row r="204">
      <c r="A204" s="13" t="n">
        <v>45141</v>
      </c>
      <c r="B204" s="14">
        <f>IF(A204="","",YEAR(A204))</f>
        <v/>
      </c>
      <c r="C204" s="14">
        <f>IF(A204="","",YEAR(A204)&amp;"-Q"&amp;ROUNDUP(MONTH(A204)/3,0))</f>
        <v/>
      </c>
      <c r="D204" s="14" t="inlineStr">
        <is>
          <t>20/7926</t>
        </is>
      </c>
      <c r="E204" s="14" t="inlineStr">
        <is>
          <t>Kleine Anfrage</t>
        </is>
      </c>
      <c r="F204" s="14" t="inlineStr">
        <is>
          <t>AfD</t>
        </is>
      </c>
      <c r="G204" s="14" t="inlineStr">
        <is>
          <t>Opposition</t>
        </is>
      </c>
      <c r="H204" s="14" t="inlineStr">
        <is>
          <t>20</t>
        </is>
      </c>
      <c r="I204" s="14" t="inlineStr">
        <is>
          <t>Bahnhoefe; Kriminalitaet</t>
        </is>
      </c>
      <c r="J204" s="14" t="inlineStr"/>
      <c r="K204" s="15">
        <f>IF(OR(J204="",LEFT(E204,7)&lt;&gt;"Antwort"),"",IFERROR(A204-INDEX($A$2:$A$293,MATCH(J204,$D$2:$D$293,0)),""))</f>
        <v/>
      </c>
      <c r="L204" s="14">
        <f>IF(E204&lt;&gt;"Kleine Anfrage","",IFERROR(INDEX($D$2:$D$293,MATCH(D204,$J$2:$J$293,0)),"offen"))</f>
        <v/>
      </c>
      <c r="M204" s="14" t="inlineStr">
        <is>
          <t>Kriminalitätsfelder in Bezug auf Bahnhöfe in Hessen im ersten Halbjahr 2023</t>
        </is>
      </c>
      <c r="N204" s="14" t="inlineStr">
        <is>
          <t>Fraktion der AfD</t>
        </is>
      </c>
      <c r="O204" s="16" t="inlineStr">
        <is>
          <t>PDF</t>
        </is>
      </c>
      <c r="P204" s="14" t="inlineStr"/>
      <c r="Q204" s="14" t="inlineStr">
        <is>
          <t>Bahnhöfe / Kriminalitätsfelder</t>
        </is>
      </c>
      <c r="R204" s="14">
        <f>IF(COUNTIF(Abstimmungen!$B$5:$B$2000,D204)-COUNTIFS(Abstimmungen!$B$5:$B$2000,D204,Abstimmungen!$D$5:$D$2000,"*berweisung*")&gt;0,1,0)</f>
        <v/>
      </c>
    </row>
    <row r="205">
      <c r="A205" s="13" t="n">
        <v>45135</v>
      </c>
      <c r="B205" s="14">
        <f>IF(A205="","",YEAR(A205))</f>
        <v/>
      </c>
      <c r="C205" s="14">
        <f>IF(A205="","",YEAR(A205)&amp;"-Q"&amp;ROUNDUP(MONTH(A205)/3,0))</f>
        <v/>
      </c>
      <c r="D205" s="14" t="inlineStr">
        <is>
          <t>20/7894</t>
        </is>
      </c>
      <c r="E205" s="14" t="inlineStr">
        <is>
          <t>Antwort</t>
        </is>
      </c>
      <c r="F205" s="14" t="inlineStr">
        <is>
          <t>Bundesregierung</t>
        </is>
      </c>
      <c r="G205" s="14" t="inlineStr">
        <is>
          <t>Regierung</t>
        </is>
      </c>
      <c r="H205" s="14" t="inlineStr">
        <is>
          <t>20</t>
        </is>
      </c>
      <c r="I205" s="14" t="inlineStr">
        <is>
          <t>Bahnhoefe; Kriminalitaet</t>
        </is>
      </c>
      <c r="J205" s="14" t="inlineStr">
        <is>
          <t>20/7743</t>
        </is>
      </c>
      <c r="K205" s="15">
        <f>IF(OR(J205="",LEFT(E205,7)&lt;&gt;"Antwort"),"",IFERROR(A205-INDEX($A$2:$A$293,MATCH(J205,$D$2:$D$293,0)),""))</f>
        <v/>
      </c>
      <c r="L205" s="14">
        <f>IF(E205&lt;&gt;"Kleine Anfrage","",IFERROR(INDEX($D$2:$D$293,MATCH(D205,$J$2:$J$293,0)),"offen"))</f>
        <v/>
      </c>
      <c r="M205" s="14" t="inlineStr">
        <is>
          <t>Kriminalitätsfelder in Bezug auf Bahnhöfe und Züge in den Jahren 2014 ff.</t>
        </is>
      </c>
      <c r="N205" s="14" t="inlineStr">
        <is>
          <t>Bundesregierung</t>
        </is>
      </c>
      <c r="O205" s="16" t="inlineStr">
        <is>
          <t>PDF</t>
        </is>
      </c>
      <c r="P205" s="14" t="inlineStr">
        <is>
          <t>AfD</t>
        </is>
      </c>
      <c r="Q205" s="14" t="inlineStr"/>
      <c r="R205" s="14">
        <f>IF(COUNTIF(Abstimmungen!$B$5:$B$2000,D205)-COUNTIFS(Abstimmungen!$B$5:$B$2000,D205,Abstimmungen!$D$5:$D$2000,"*berweisung*")&gt;0,1,0)</f>
        <v/>
      </c>
    </row>
    <row r="206">
      <c r="A206" s="13" t="n">
        <v>45124</v>
      </c>
      <c r="B206" s="14">
        <f>IF(A206="","",YEAR(A206))</f>
        <v/>
      </c>
      <c r="C206" s="14">
        <f>IF(A206="","",YEAR(A206)&amp;"-Q"&amp;ROUNDUP(MONTH(A206)/3,0))</f>
        <v/>
      </c>
      <c r="D206" s="14" t="inlineStr">
        <is>
          <t>20/7803</t>
        </is>
      </c>
      <c r="E206" s="14" t="inlineStr">
        <is>
          <t>Antwort</t>
        </is>
      </c>
      <c r="F206" s="14" t="inlineStr">
        <is>
          <t>Bundesregierung</t>
        </is>
      </c>
      <c r="G206" s="14" t="inlineStr">
        <is>
          <t>Regierung</t>
        </is>
      </c>
      <c r="H206" s="14" t="inlineStr">
        <is>
          <t>20</t>
        </is>
      </c>
      <c r="I206" s="14" t="inlineStr">
        <is>
          <t>Sonstiges</t>
        </is>
      </c>
      <c r="J206" s="14" t="inlineStr">
        <is>
          <t>20/7272</t>
        </is>
      </c>
      <c r="K206" s="15">
        <f>IF(OR(J206="",LEFT(E206,7)&lt;&gt;"Antwort"),"",IFERROR(A206-INDEX($A$2:$A$293,MATCH(J206,$D$2:$D$293,0)),""))</f>
        <v/>
      </c>
      <c r="L206" s="14">
        <f>IF(E206&lt;&gt;"Kleine Anfrage","",IFERROR(INDEX($D$2:$D$293,MATCH(D206,$J$2:$J$293,0)),"offen"))</f>
        <v/>
      </c>
      <c r="M206" s="14" t="inlineStr">
        <is>
          <t>Aktueller Stand zur Umsetzung des Masterplans Schienenverkehr (Nachfrage zur Antwort der Bundesregierung auf die Kleine Anfrage auf Bundestagsdrucksache 20/6944)</t>
        </is>
      </c>
      <c r="N206" s="14" t="inlineStr">
        <is>
          <t>Bundesregierung</t>
        </is>
      </c>
      <c r="O206" s="16" t="inlineStr">
        <is>
          <t>PDF</t>
        </is>
      </c>
      <c r="P206" s="14" t="inlineStr">
        <is>
          <t>CDU/CSU</t>
        </is>
      </c>
      <c r="Q206" s="14" t="inlineStr"/>
      <c r="R206" s="14">
        <f>IF(COUNTIF(Abstimmungen!$B$5:$B$2000,D206)-COUNTIFS(Abstimmungen!$B$5:$B$2000,D206,Abstimmungen!$D$5:$D$2000,"*berweisung*")&gt;0,1,0)</f>
        <v/>
      </c>
    </row>
    <row r="207">
      <c r="A207" s="13" t="n">
        <v>45120</v>
      </c>
      <c r="B207" s="14">
        <f>IF(A207="","",YEAR(A207))</f>
        <v/>
      </c>
      <c r="C207" s="14">
        <f>IF(A207="","",YEAR(A207)&amp;"-Q"&amp;ROUNDUP(MONTH(A207)/3,0))</f>
        <v/>
      </c>
      <c r="D207" s="14" t="inlineStr">
        <is>
          <t>20/7743</t>
        </is>
      </c>
      <c r="E207" s="14" t="inlineStr">
        <is>
          <t>Kleine Anfrage</t>
        </is>
      </c>
      <c r="F207" s="14" t="inlineStr">
        <is>
          <t>AfD</t>
        </is>
      </c>
      <c r="G207" s="14" t="inlineStr">
        <is>
          <t>Opposition</t>
        </is>
      </c>
      <c r="H207" s="14" t="inlineStr">
        <is>
          <t>20</t>
        </is>
      </c>
      <c r="I207" s="14" t="inlineStr">
        <is>
          <t>Bahnhoefe; Kriminalitaet</t>
        </is>
      </c>
      <c r="J207" s="14" t="inlineStr"/>
      <c r="K207" s="15">
        <f>IF(OR(J207="",LEFT(E207,7)&lt;&gt;"Antwort"),"",IFERROR(A207-INDEX($A$2:$A$293,MATCH(J207,$D$2:$D$293,0)),""))</f>
        <v/>
      </c>
      <c r="L207" s="14">
        <f>IF(E207&lt;&gt;"Kleine Anfrage","",IFERROR(INDEX($D$2:$D$293,MATCH(D207,$J$2:$J$293,0)),"offen"))</f>
        <v/>
      </c>
      <c r="M207" s="14" t="inlineStr">
        <is>
          <t>Kriminalitätsfelder in Bezug auf Bahnhöfe und Züge in den Jahren 2014 ff.</t>
        </is>
      </c>
      <c r="N207" s="14" t="inlineStr">
        <is>
          <t>Fraktion der AfD</t>
        </is>
      </c>
      <c r="O207" s="16" t="inlineStr">
        <is>
          <t>PDF</t>
        </is>
      </c>
      <c r="P207" s="14" t="inlineStr"/>
      <c r="Q207" s="14" t="inlineStr">
        <is>
          <t>Bahnhöfe / Kriminalitätsfelder</t>
        </is>
      </c>
      <c r="R207" s="14">
        <f>IF(COUNTIF(Abstimmungen!$B$5:$B$2000,D207)-COUNTIFS(Abstimmungen!$B$5:$B$2000,D207,Abstimmungen!$D$5:$D$2000,"*berweisung*")&gt;0,1,0)</f>
        <v/>
      </c>
    </row>
    <row r="208">
      <c r="A208" s="13" t="n">
        <v>45119</v>
      </c>
      <c r="B208" s="14">
        <f>IF(A208="","",YEAR(A208))</f>
        <v/>
      </c>
      <c r="C208" s="14">
        <f>IF(A208="","",YEAR(A208)&amp;"-Q"&amp;ROUNDUP(MONTH(A208)/3,0))</f>
        <v/>
      </c>
      <c r="D208" s="14" t="inlineStr">
        <is>
          <t>20/7728</t>
        </is>
      </c>
      <c r="E208" s="14" t="inlineStr">
        <is>
          <t>Antwort</t>
        </is>
      </c>
      <c r="F208" s="14" t="inlineStr">
        <is>
          <t>Bundesregierung</t>
        </is>
      </c>
      <c r="G208" s="14" t="inlineStr">
        <is>
          <t>Regierung</t>
        </is>
      </c>
      <c r="H208" s="14" t="inlineStr">
        <is>
          <t>20</t>
        </is>
      </c>
      <c r="I208" s="14" t="inlineStr">
        <is>
          <t>Bahnhoefe; Sicherheit</t>
        </is>
      </c>
      <c r="J208" s="14" t="inlineStr">
        <is>
          <t>20/7287</t>
        </is>
      </c>
      <c r="K208" s="15">
        <f>IF(OR(J208="",LEFT(E208,7)&lt;&gt;"Antwort"),"",IFERROR(A208-INDEX($A$2:$A$293,MATCH(J208,$D$2:$D$293,0)),""))</f>
        <v/>
      </c>
      <c r="L208" s="14">
        <f>IF(E208&lt;&gt;"Kleine Anfrage","",IFERROR(INDEX($D$2:$D$293,MATCH(D208,$J$2:$J$293,0)),"offen"))</f>
        <v/>
      </c>
      <c r="M208" s="14" t="inlineStr">
        <is>
          <t>Präsenz und Belastung der Bundespolizei an Bahnhöfen in Hamburg sowie am Hamburger Flughafen im Jahr 2022</t>
        </is>
      </c>
      <c r="N208" s="14" t="inlineStr">
        <is>
          <t>Bundesregierung</t>
        </is>
      </c>
      <c r="O208" s="16" t="inlineStr">
        <is>
          <t>PDF</t>
        </is>
      </c>
      <c r="P208" s="14" t="inlineStr">
        <is>
          <t>CDU/CSU</t>
        </is>
      </c>
      <c r="Q208" s="14" t="inlineStr"/>
      <c r="R208" s="14">
        <f>IF(COUNTIF(Abstimmungen!$B$5:$B$2000,D208)-COUNTIFS(Abstimmungen!$B$5:$B$2000,D208,Abstimmungen!$D$5:$D$2000,"*berweisung*")&gt;0,1,0)</f>
        <v/>
      </c>
    </row>
    <row r="209">
      <c r="A209" s="13" t="n">
        <v>45107</v>
      </c>
      <c r="B209" s="14">
        <f>IF(A209="","",YEAR(A209))</f>
        <v/>
      </c>
      <c r="C209" s="14">
        <f>IF(A209="","",YEAR(A209)&amp;"-Q"&amp;ROUNDUP(MONTH(A209)/3,0))</f>
        <v/>
      </c>
      <c r="D209" s="14" t="inlineStr">
        <is>
          <t>20/7533</t>
        </is>
      </c>
      <c r="E209" s="14" t="inlineStr">
        <is>
          <t>Ergänzende Antwort</t>
        </is>
      </c>
      <c r="F209" s="14" t="inlineStr">
        <is>
          <t>Bundesregierung</t>
        </is>
      </c>
      <c r="G209" s="14" t="inlineStr">
        <is>
          <t>Regierung</t>
        </is>
      </c>
      <c r="H209" s="14" t="inlineStr">
        <is>
          <t>20</t>
        </is>
      </c>
      <c r="I209" s="14" t="inlineStr">
        <is>
          <t>Infrastruktur/Netz</t>
        </is>
      </c>
      <c r="J209" s="14" t="inlineStr">
        <is>
          <t>20/6747</t>
        </is>
      </c>
      <c r="K209" s="15">
        <f>IF(OR(J209="",LEFT(E209,7)&lt;&gt;"Antwort"),"",IFERROR(A209-INDEX($A$2:$A$293,MATCH(J209,$D$2:$D$293,0)),""))</f>
        <v/>
      </c>
      <c r="L209" s="14">
        <f>IF(E209&lt;&gt;"Kleine Anfrage","",IFERROR(INDEX($D$2:$D$293,MATCH(D209,$J$2:$J$293,0)),"offen"))</f>
        <v/>
      </c>
      <c r="M209" s="14" t="inlineStr">
        <is>
          <t>Entwicklung der Schieneninfrastruktur im Osten Brandenburgs</t>
        </is>
      </c>
      <c r="N209" s="14" t="inlineStr">
        <is>
          <t>Bundesregierung</t>
        </is>
      </c>
      <c r="O209" s="16" t="inlineStr">
        <is>
          <t>PDF</t>
        </is>
      </c>
      <c r="P209" s="14" t="inlineStr"/>
      <c r="Q209" s="14" t="inlineStr"/>
      <c r="R209" s="14">
        <f>IF(COUNTIF(Abstimmungen!$B$5:$B$2000,D209)-COUNTIFS(Abstimmungen!$B$5:$B$2000,D209,Abstimmungen!$D$5:$D$2000,"*berweisung*")&gt;0,1,0)</f>
        <v/>
      </c>
    </row>
    <row r="210">
      <c r="A210" s="13" t="n">
        <v>45105</v>
      </c>
      <c r="B210" s="14">
        <f>IF(A210="","",YEAR(A210))</f>
        <v/>
      </c>
      <c r="C210" s="14">
        <f>IF(A210="","",YEAR(A210)&amp;"-Q"&amp;ROUNDUP(MONTH(A210)/3,0))</f>
        <v/>
      </c>
      <c r="D210" s="14" t="inlineStr">
        <is>
          <t>20/7507</t>
        </is>
      </c>
      <c r="E210" s="14" t="inlineStr">
        <is>
          <t>Beschlussempfehlung und Bericht</t>
        </is>
      </c>
      <c r="F210" s="14" t="inlineStr">
        <is>
          <t>Ausschuss für wirtschaftliche Zusammenarbeit und Entwicklung</t>
        </is>
      </c>
      <c r="G210" s="14" t="inlineStr">
        <is>
          <t>Ausschuss</t>
        </is>
      </c>
      <c r="H210" s="14" t="inlineStr">
        <is>
          <t>20</t>
        </is>
      </c>
      <c r="I210" s="14" t="inlineStr">
        <is>
          <t>Finanzierung</t>
        </is>
      </c>
      <c r="J210" s="14" t="inlineStr">
        <is>
          <t>20/6721</t>
        </is>
      </c>
      <c r="K210" s="15">
        <f>IF(OR(J210="",LEFT(E210,7)&lt;&gt;"Antwort"),"",IFERROR(A210-INDEX($A$2:$A$293,MATCH(J210,$D$2:$D$293,0)),""))</f>
        <v/>
      </c>
      <c r="L210" s="14">
        <f>IF(E210&lt;&gt;"Kleine Anfrage","",IFERROR(INDEX($D$2:$D$293,MATCH(D210,$J$2:$J$293,0)),"offen"))</f>
        <v/>
      </c>
      <c r="M210" s="14" t="inlineStr">
        <is>
          <t>Eisenbahn-Investitionen in Westafrika stärker unterstützen - Chancen für die deutsche Bahnindustrie nutzen</t>
        </is>
      </c>
      <c r="N210" s="14" t="inlineStr">
        <is>
          <t>Ausschuss für wirtschaftliche Zusammenarbeit und Entwicklung</t>
        </is>
      </c>
      <c r="O210" s="16" t="inlineStr">
        <is>
          <t>PDF</t>
        </is>
      </c>
      <c r="P210" s="14" t="inlineStr"/>
      <c r="Q210" s="14" t="inlineStr"/>
      <c r="R210" s="14">
        <f>IF(COUNTIF(Abstimmungen!$B$5:$B$2000,D210)-COUNTIFS(Abstimmungen!$B$5:$B$2000,D210,Abstimmungen!$D$5:$D$2000,"*berweisung*")&gt;0,1,0)</f>
        <v/>
      </c>
    </row>
    <row r="211">
      <c r="A211" s="13" t="n">
        <v>45104</v>
      </c>
      <c r="B211" s="14">
        <f>IF(A211="","",YEAR(A211))</f>
        <v/>
      </c>
      <c r="C211" s="14">
        <f>IF(A211="","",YEAR(A211)&amp;"-Q"&amp;ROUNDUP(MONTH(A211)/3,0))</f>
        <v/>
      </c>
      <c r="D211" s="14" t="inlineStr">
        <is>
          <t>20/7487</t>
        </is>
      </c>
      <c r="E211" s="14" t="inlineStr">
        <is>
          <t>Antwort</t>
        </is>
      </c>
      <c r="F211" s="14" t="inlineStr">
        <is>
          <t>Bundesregierung</t>
        </is>
      </c>
      <c r="G211" s="14" t="inlineStr">
        <is>
          <t>Regierung</t>
        </is>
      </c>
      <c r="H211" s="14" t="inlineStr">
        <is>
          <t>20</t>
        </is>
      </c>
      <c r="I211" s="14" t="inlineStr">
        <is>
          <t>Sonstiges</t>
        </is>
      </c>
      <c r="J211" s="14" t="inlineStr">
        <is>
          <t>20/7048</t>
        </is>
      </c>
      <c r="K211" s="15">
        <f>IF(OR(J211="",LEFT(E211,7)&lt;&gt;"Antwort"),"",IFERROR(A211-INDEX($A$2:$A$293,MATCH(J211,$D$2:$D$293,0)),""))</f>
        <v/>
      </c>
      <c r="L211" s="14">
        <f>IF(E211&lt;&gt;"Kleine Anfrage","",IFERROR(INDEX($D$2:$D$293,MATCH(D211,$J$2:$J$293,0)),"offen"))</f>
        <v/>
      </c>
      <c r="M211" s="14" t="inlineStr">
        <is>
          <t>Aktueller Stand zur geplanten "Gemeinwohlorientierten Infrastruktursparte" der Deutschen Bahn AG</t>
        </is>
      </c>
      <c r="N211" s="14" t="inlineStr">
        <is>
          <t>Bundesregierung</t>
        </is>
      </c>
      <c r="O211" s="16" t="inlineStr">
        <is>
          <t>PDF</t>
        </is>
      </c>
      <c r="P211" s="14" t="inlineStr">
        <is>
          <t>CDU/CSU</t>
        </is>
      </c>
      <c r="Q211" s="14" t="inlineStr"/>
      <c r="R211" s="14">
        <f>IF(COUNTIF(Abstimmungen!$B$5:$B$2000,D211)-COUNTIFS(Abstimmungen!$B$5:$B$2000,D211,Abstimmungen!$D$5:$D$2000,"*berweisung*")&gt;0,1,0)</f>
        <v/>
      </c>
    </row>
    <row r="212">
      <c r="A212" s="13" t="n">
        <v>45097</v>
      </c>
      <c r="B212" s="14">
        <f>IF(A212="","",YEAR(A212))</f>
        <v/>
      </c>
      <c r="C212" s="14">
        <f>IF(A212="","",YEAR(A212)&amp;"-Q"&amp;ROUNDUP(MONTH(A212)/3,0))</f>
        <v/>
      </c>
      <c r="D212" s="14" t="inlineStr">
        <is>
          <t>20/7350</t>
        </is>
      </c>
      <c r="E212" s="14" t="inlineStr">
        <is>
          <t>Antrag</t>
        </is>
      </c>
      <c r="F212" s="14" t="inlineStr">
        <is>
          <t>CDU/CSU</t>
        </is>
      </c>
      <c r="G212" s="14" t="inlineStr">
        <is>
          <t>Opposition</t>
        </is>
      </c>
      <c r="H212" s="14" t="inlineStr">
        <is>
          <t>20</t>
        </is>
      </c>
      <c r="I212" s="14" t="inlineStr">
        <is>
          <t>Konzernstruktur/DB AG</t>
        </is>
      </c>
      <c r="J212" s="14" t="inlineStr"/>
      <c r="K212" s="15">
        <f>IF(OR(J212="",LEFT(E212,7)&lt;&gt;"Antwort"),"",IFERROR(A212-INDEX($A$2:$A$293,MATCH(J212,$D$2:$D$293,0)),""))</f>
        <v/>
      </c>
      <c r="L212" s="14">
        <f>IF(E212&lt;&gt;"Kleine Anfrage","",IFERROR(INDEX($D$2:$D$293,MATCH(D212,$J$2:$J$293,0)),"offen"))</f>
        <v/>
      </c>
      <c r="M212" s="14" t="inlineStr">
        <is>
          <t>Schiene in die Zukunft führen - Deutsche Bahn AG neu aufstellen</t>
        </is>
      </c>
      <c r="N212" s="14" t="inlineStr">
        <is>
          <t>Fraktion der CDU/CSU</t>
        </is>
      </c>
      <c r="O212" s="16" t="inlineStr">
        <is>
          <t>PDF</t>
        </is>
      </c>
      <c r="P212" s="14" t="inlineStr"/>
      <c r="Q212" s="14" t="inlineStr"/>
      <c r="R212" s="14">
        <f>IF(COUNTIF(Abstimmungen!$B$5:$B$2000,D212)-COUNTIFS(Abstimmungen!$B$5:$B$2000,D212,Abstimmungen!$D$5:$D$2000,"*berweisung*")&gt;0,1,0)</f>
        <v/>
      </c>
    </row>
    <row r="213">
      <c r="A213" s="13" t="n">
        <v>45093</v>
      </c>
      <c r="B213" s="14">
        <f>IF(A213="","",YEAR(A213))</f>
        <v/>
      </c>
      <c r="C213" s="14">
        <f>IF(A213="","",YEAR(A213)&amp;"-Q"&amp;ROUNDUP(MONTH(A213)/3,0))</f>
        <v/>
      </c>
      <c r="D213" s="14" t="inlineStr">
        <is>
          <t>20/7287</t>
        </is>
      </c>
      <c r="E213" s="14" t="inlineStr">
        <is>
          <t>Kleine Anfrage</t>
        </is>
      </c>
      <c r="F213" s="14" t="inlineStr">
        <is>
          <t>CDU/CSU</t>
        </is>
      </c>
      <c r="G213" s="14" t="inlineStr">
        <is>
          <t>Opposition</t>
        </is>
      </c>
      <c r="H213" s="14" t="inlineStr">
        <is>
          <t>20</t>
        </is>
      </c>
      <c r="I213" s="14" t="inlineStr">
        <is>
          <t>Bahnhoefe; Sicherheit</t>
        </is>
      </c>
      <c r="J213" s="14" t="inlineStr"/>
      <c r="K213" s="15">
        <f>IF(OR(J213="",LEFT(E213,7)&lt;&gt;"Antwort"),"",IFERROR(A213-INDEX($A$2:$A$293,MATCH(J213,$D$2:$D$293,0)),""))</f>
        <v/>
      </c>
      <c r="L213" s="14">
        <f>IF(E213&lt;&gt;"Kleine Anfrage","",IFERROR(INDEX($D$2:$D$293,MATCH(D213,$J$2:$J$293,0)),"offen"))</f>
        <v/>
      </c>
      <c r="M213" s="14" t="inlineStr">
        <is>
          <t>Präsenz und Belastung der Bundespolizei an Bahnhöfen in Hamburg sowie am Hamburger Flughafen im Jahr 2022</t>
        </is>
      </c>
      <c r="N213" s="14" t="inlineStr">
        <is>
          <t>Fraktion der CDU/CSU</t>
        </is>
      </c>
      <c r="O213" s="16" t="inlineStr">
        <is>
          <t>PDF</t>
        </is>
      </c>
      <c r="P213" s="14" t="inlineStr"/>
      <c r="Q213" s="14" t="inlineStr"/>
      <c r="R213" s="14">
        <f>IF(COUNTIF(Abstimmungen!$B$5:$B$2000,D213)-COUNTIFS(Abstimmungen!$B$5:$B$2000,D213,Abstimmungen!$D$5:$D$2000,"*berweisung*")&gt;0,1,0)</f>
        <v/>
      </c>
    </row>
    <row r="214">
      <c r="A214" s="13" t="n">
        <v>45092</v>
      </c>
      <c r="B214" s="14">
        <f>IF(A214="","",YEAR(A214))</f>
        <v/>
      </c>
      <c r="C214" s="14">
        <f>IF(A214="","",YEAR(A214)&amp;"-Q"&amp;ROUNDUP(MONTH(A214)/3,0))</f>
        <v/>
      </c>
      <c r="D214" s="14" t="inlineStr">
        <is>
          <t>20/7272</t>
        </is>
      </c>
      <c r="E214" s="14" t="inlineStr">
        <is>
          <t>Kleine Anfrage</t>
        </is>
      </c>
      <c r="F214" s="14" t="inlineStr">
        <is>
          <t>CDU/CSU</t>
        </is>
      </c>
      <c r="G214" s="14" t="inlineStr">
        <is>
          <t>Opposition</t>
        </is>
      </c>
      <c r="H214" s="14" t="inlineStr">
        <is>
          <t>20</t>
        </is>
      </c>
      <c r="I214" s="14" t="inlineStr">
        <is>
          <t>Sonstiges</t>
        </is>
      </c>
      <c r="J214" s="14" t="inlineStr"/>
      <c r="K214" s="15">
        <f>IF(OR(J214="",LEFT(E214,7)&lt;&gt;"Antwort"),"",IFERROR(A214-INDEX($A$2:$A$293,MATCH(J214,$D$2:$D$293,0)),""))</f>
        <v/>
      </c>
      <c r="L214" s="14">
        <f>IF(E214&lt;&gt;"Kleine Anfrage","",IFERROR(INDEX($D$2:$D$293,MATCH(D214,$J$2:$J$293,0)),"offen"))</f>
        <v/>
      </c>
      <c r="M214" s="14" t="inlineStr">
        <is>
          <t>Aktueller Stand zur Umsetzung des Masterplan Schienenverkehr (Nachfragen zur Antwort der Bundesregierung auf die Kleine Anfrage auf Bundestagsdrucksache 20/6944)</t>
        </is>
      </c>
      <c r="N214" s="14" t="inlineStr">
        <is>
          <t>Fraktion der CDU/CSU</t>
        </is>
      </c>
      <c r="O214" s="16" t="inlineStr">
        <is>
          <t>PDF</t>
        </is>
      </c>
      <c r="P214" s="14" t="inlineStr"/>
      <c r="Q214" s="14" t="inlineStr"/>
      <c r="R214" s="14">
        <f>IF(COUNTIF(Abstimmungen!$B$5:$B$2000,D214)-COUNTIFS(Abstimmungen!$B$5:$B$2000,D214,Abstimmungen!$D$5:$D$2000,"*berweisung*")&gt;0,1,0)</f>
        <v/>
      </c>
    </row>
    <row r="215">
      <c r="A215" s="13" t="n">
        <v>45090</v>
      </c>
      <c r="B215" s="14">
        <f>IF(A215="","",YEAR(A215))</f>
        <v/>
      </c>
      <c r="C215" s="14">
        <f>IF(A215="","",YEAR(A215)&amp;"-Q"&amp;ROUNDUP(MONTH(A215)/3,0))</f>
        <v/>
      </c>
      <c r="D215" s="14" t="inlineStr">
        <is>
          <t>20/7197</t>
        </is>
      </c>
      <c r="E215" s="14" t="inlineStr">
        <is>
          <t>Antrag</t>
        </is>
      </c>
      <c r="F215" s="14" t="inlineStr">
        <is>
          <t>AfD</t>
        </is>
      </c>
      <c r="G215" s="14" t="inlineStr">
        <is>
          <t>Opposition</t>
        </is>
      </c>
      <c r="H215" s="14" t="inlineStr">
        <is>
          <t>20</t>
        </is>
      </c>
      <c r="I215" s="14" t="inlineStr">
        <is>
          <t>Konzernstruktur/DB AG</t>
        </is>
      </c>
      <c r="J215" s="14" t="inlineStr"/>
      <c r="K215" s="15">
        <f>IF(OR(J215="",LEFT(E215,7)&lt;&gt;"Antwort"),"",IFERROR(A215-INDEX($A$2:$A$293,MATCH(J215,$D$2:$D$293,0)),""))</f>
        <v/>
      </c>
      <c r="L215" s="14">
        <f>IF(E215&lt;&gt;"Kleine Anfrage","",IFERROR(INDEX($D$2:$D$293,MATCH(D215,$J$2:$J$293,0)),"offen"))</f>
        <v/>
      </c>
      <c r="M215" s="14" t="inlineStr">
        <is>
          <t>Die Deutsche Bahn AG zielgerichtet und wirkungsvoll reformieren</t>
        </is>
      </c>
      <c r="N215" s="14" t="inlineStr">
        <is>
          <t>Fraktion der AfD</t>
        </is>
      </c>
      <c r="O215" s="16" t="inlineStr">
        <is>
          <t>PDF</t>
        </is>
      </c>
      <c r="P215" s="14" t="inlineStr"/>
      <c r="Q215" s="14" t="inlineStr"/>
      <c r="R215" s="14">
        <f>IF(COUNTIF(Abstimmungen!$B$5:$B$2000,D215)-COUNTIFS(Abstimmungen!$B$5:$B$2000,D215,Abstimmungen!$D$5:$D$2000,"*berweisung*")&gt;0,1,0)</f>
        <v/>
      </c>
    </row>
    <row r="216">
      <c r="A216" s="13" t="n">
        <v>45084</v>
      </c>
      <c r="B216" s="14">
        <f>IF(A216="","",YEAR(A216))</f>
        <v/>
      </c>
      <c r="C216" s="14">
        <f>IF(A216="","",YEAR(A216)&amp;"-Q"&amp;ROUNDUP(MONTH(A216)/3,0))</f>
        <v/>
      </c>
      <c r="D216" s="14" t="inlineStr">
        <is>
          <t>20/7156</t>
        </is>
      </c>
      <c r="E216" s="14" t="inlineStr">
        <is>
          <t>Antwort</t>
        </is>
      </c>
      <c r="F216" s="14" t="inlineStr">
        <is>
          <t>Bundesregierung</t>
        </is>
      </c>
      <c r="G216" s="14" t="inlineStr">
        <is>
          <t>Regierung</t>
        </is>
      </c>
      <c r="H216" s="14" t="inlineStr">
        <is>
          <t>20</t>
        </is>
      </c>
      <c r="I216" s="14" t="inlineStr">
        <is>
          <t>Infrastruktur/Netz</t>
        </is>
      </c>
      <c r="J216" s="14" t="inlineStr">
        <is>
          <t>20/6747</t>
        </is>
      </c>
      <c r="K216" s="15">
        <f>IF(OR(J216="",LEFT(E216,7)&lt;&gt;"Antwort"),"",IFERROR(A216-INDEX($A$2:$A$293,MATCH(J216,$D$2:$D$293,0)),""))</f>
        <v/>
      </c>
      <c r="L216" s="14">
        <f>IF(E216&lt;&gt;"Kleine Anfrage","",IFERROR(INDEX($D$2:$D$293,MATCH(D216,$J$2:$J$293,0)),"offen"))</f>
        <v/>
      </c>
      <c r="M216" s="14" t="inlineStr">
        <is>
          <t>Entwicklung der Schieneninfrastruktur im Osten Brandenburgs</t>
        </is>
      </c>
      <c r="N216" s="14" t="inlineStr">
        <is>
          <t>Bundesregierung</t>
        </is>
      </c>
      <c r="O216" s="16" t="inlineStr">
        <is>
          <t>PDF</t>
        </is>
      </c>
      <c r="P216" s="14" t="inlineStr">
        <is>
          <t>Linke</t>
        </is>
      </c>
      <c r="Q216" s="14" t="inlineStr"/>
      <c r="R216" s="14">
        <f>IF(COUNTIF(Abstimmungen!$B$5:$B$2000,D216)-COUNTIFS(Abstimmungen!$B$5:$B$2000,D216,Abstimmungen!$D$5:$D$2000,"*berweisung*")&gt;0,1,0)</f>
        <v/>
      </c>
    </row>
    <row r="217">
      <c r="A217" s="13" t="n">
        <v>45077</v>
      </c>
      <c r="B217" s="14">
        <f>IF(A217="","",YEAR(A217))</f>
        <v/>
      </c>
      <c r="C217" s="14">
        <f>IF(A217="","",YEAR(A217)&amp;"-Q"&amp;ROUNDUP(MONTH(A217)/3,0))</f>
        <v/>
      </c>
      <c r="D217" s="14" t="inlineStr">
        <is>
          <t>20/7048</t>
        </is>
      </c>
      <c r="E217" s="14" t="inlineStr">
        <is>
          <t>Kleine Anfrage</t>
        </is>
      </c>
      <c r="F217" s="14" t="inlineStr">
        <is>
          <t>CDU/CSU</t>
        </is>
      </c>
      <c r="G217" s="14" t="inlineStr">
        <is>
          <t>Opposition</t>
        </is>
      </c>
      <c r="H217" s="14" t="inlineStr">
        <is>
          <t>20</t>
        </is>
      </c>
      <c r="I217" s="14" t="inlineStr">
        <is>
          <t>Sonstiges</t>
        </is>
      </c>
      <c r="J217" s="14" t="inlineStr"/>
      <c r="K217" s="15">
        <f>IF(OR(J217="",LEFT(E217,7)&lt;&gt;"Antwort"),"",IFERROR(A217-INDEX($A$2:$A$293,MATCH(J217,$D$2:$D$293,0)),""))</f>
        <v/>
      </c>
      <c r="L217" s="14">
        <f>IF(E217&lt;&gt;"Kleine Anfrage","",IFERROR(INDEX($D$2:$D$293,MATCH(D217,$J$2:$J$293,0)),"offen"))</f>
        <v/>
      </c>
      <c r="M217" s="14" t="inlineStr">
        <is>
          <t>Aktueller Stand zur geplanten "Gemeinwohlorientierten Infrastruktursparte" der Deutschen Bahn AG</t>
        </is>
      </c>
      <c r="N217" s="14" t="inlineStr">
        <is>
          <t>Fraktion der CDU/CSU</t>
        </is>
      </c>
      <c r="O217" s="16" t="inlineStr">
        <is>
          <t>PDF</t>
        </is>
      </c>
      <c r="P217" s="14" t="inlineStr"/>
      <c r="Q217" s="14" t="inlineStr"/>
      <c r="R217" s="14">
        <f>IF(COUNTIF(Abstimmungen!$B$5:$B$2000,D217)-COUNTIFS(Abstimmungen!$B$5:$B$2000,D217,Abstimmungen!$D$5:$D$2000,"*berweisung*")&gt;0,1,0)</f>
        <v/>
      </c>
    </row>
    <row r="218">
      <c r="A218" s="13" t="n">
        <v>45071</v>
      </c>
      <c r="B218" s="14">
        <f>IF(A218="","",YEAR(A218))</f>
        <v/>
      </c>
      <c r="C218" s="14">
        <f>IF(A218="","",YEAR(A218)&amp;"-Q"&amp;ROUNDUP(MONTH(A218)/3,0))</f>
        <v/>
      </c>
      <c r="D218" s="14" t="inlineStr">
        <is>
          <t>20/6988</t>
        </is>
      </c>
      <c r="E218" s="14" t="inlineStr">
        <is>
          <t>Antrag</t>
        </is>
      </c>
      <c r="F218" s="14" t="inlineStr">
        <is>
          <t>Linke</t>
        </is>
      </c>
      <c r="G218" s="14" t="inlineStr">
        <is>
          <t>Opposition</t>
        </is>
      </c>
      <c r="H218" s="14" t="inlineStr">
        <is>
          <t>20</t>
        </is>
      </c>
      <c r="I218" s="14" t="inlineStr">
        <is>
          <t>Sonstiges</t>
        </is>
      </c>
      <c r="J218" s="14" t="inlineStr"/>
      <c r="K218" s="15">
        <f>IF(OR(J218="",LEFT(E218,7)&lt;&gt;"Antwort"),"",IFERROR(A218-INDEX($A$2:$A$293,MATCH(J218,$D$2:$D$293,0)),""))</f>
        <v/>
      </c>
      <c r="L218" s="14">
        <f>IF(E218&lt;&gt;"Kleine Anfrage","",IFERROR(INDEX($D$2:$D$293,MATCH(D218,$J$2:$J$293,0)),"offen"))</f>
        <v/>
      </c>
      <c r="M218" s="14" t="inlineStr">
        <is>
          <t>Bahn zukunftsfähig aufstellen - Zerschlagung der Deutschen Bahn AG eine Absage erteilen</t>
        </is>
      </c>
      <c r="N218" s="14" t="inlineStr">
        <is>
          <t>Fraktion DIE LINKE</t>
        </is>
      </c>
      <c r="O218" s="16" t="inlineStr">
        <is>
          <t>PDF</t>
        </is>
      </c>
      <c r="P218" s="14" t="inlineStr"/>
      <c r="Q218" s="14" t="inlineStr"/>
      <c r="R218" s="14">
        <f>IF(COUNTIF(Abstimmungen!$B$5:$B$2000,D218)-COUNTIFS(Abstimmungen!$B$5:$B$2000,D218,Abstimmungen!$D$5:$D$2000,"*berweisung*")&gt;0,1,0)</f>
        <v/>
      </c>
    </row>
    <row r="219">
      <c r="A219" s="13" t="n">
        <v>45071</v>
      </c>
      <c r="B219" s="14">
        <f>IF(A219="","",YEAR(A219))</f>
        <v/>
      </c>
      <c r="C219" s="14">
        <f>IF(A219="","",YEAR(A219)&amp;"-Q"&amp;ROUNDUP(MONTH(A219)/3,0))</f>
        <v/>
      </c>
      <c r="D219" s="14" t="inlineStr">
        <is>
          <t>20/7019</t>
        </is>
      </c>
      <c r="E219" s="14" t="inlineStr">
        <is>
          <t>Antwort</t>
        </is>
      </c>
      <c r="F219" s="14" t="inlineStr">
        <is>
          <t>Bundesregierung</t>
        </is>
      </c>
      <c r="G219" s="14" t="inlineStr">
        <is>
          <t>Regierung</t>
        </is>
      </c>
      <c r="H219" s="14" t="inlineStr">
        <is>
          <t>20</t>
        </is>
      </c>
      <c r="I219" s="14" t="inlineStr">
        <is>
          <t>Bahnhoefe; Kriminalitaet</t>
        </is>
      </c>
      <c r="J219" s="14" t="inlineStr">
        <is>
          <t>20/6809</t>
        </is>
      </c>
      <c r="K219" s="15">
        <f>IF(OR(J219="",LEFT(E219,7)&lt;&gt;"Antwort"),"",IFERROR(A219-INDEX($A$2:$A$293,MATCH(J219,$D$2:$D$293,0)),""))</f>
        <v/>
      </c>
      <c r="L219" s="14">
        <f>IF(E219&lt;&gt;"Kleine Anfrage","",IFERROR(INDEX($D$2:$D$293,MATCH(D219,$J$2:$J$293,0)),"offen"))</f>
        <v/>
      </c>
      <c r="M219" s="14" t="inlineStr">
        <is>
          <t>Straftaten an Thüringer Bahnhöfen und Flughäfen in dem Jahr 2022</t>
        </is>
      </c>
      <c r="N219" s="14" t="inlineStr">
        <is>
          <t>Bundesregierung</t>
        </is>
      </c>
      <c r="O219" s="16" t="inlineStr">
        <is>
          <t>PDF</t>
        </is>
      </c>
      <c r="P219" s="14" t="inlineStr">
        <is>
          <t>AfD</t>
        </is>
      </c>
      <c r="Q219" s="14" t="inlineStr"/>
      <c r="R219" s="14">
        <f>IF(COUNTIF(Abstimmungen!$B$5:$B$2000,D219)-COUNTIFS(Abstimmungen!$B$5:$B$2000,D219,Abstimmungen!$D$5:$D$2000,"*berweisung*")&gt;0,1,0)</f>
        <v/>
      </c>
    </row>
    <row r="220">
      <c r="A220" s="13" t="n">
        <v>45070</v>
      </c>
      <c r="B220" s="14">
        <f>IF(A220="","",YEAR(A220))</f>
        <v/>
      </c>
      <c r="C220" s="14">
        <f>IF(A220="","",YEAR(A220)&amp;"-Q"&amp;ROUNDUP(MONTH(A220)/3,0))</f>
        <v/>
      </c>
      <c r="D220" s="14" t="inlineStr">
        <is>
          <t>20/6944</t>
        </is>
      </c>
      <c r="E220" s="14" t="inlineStr">
        <is>
          <t>Antwort</t>
        </is>
      </c>
      <c r="F220" s="14" t="inlineStr">
        <is>
          <t>Bundesregierung</t>
        </is>
      </c>
      <c r="G220" s="14" t="inlineStr">
        <is>
          <t>Regierung</t>
        </is>
      </c>
      <c r="H220" s="14" t="inlineStr">
        <is>
          <t>20</t>
        </is>
      </c>
      <c r="I220" s="14" t="inlineStr">
        <is>
          <t>Sonstiges</t>
        </is>
      </c>
      <c r="J220" s="14" t="inlineStr">
        <is>
          <t>20/6432</t>
        </is>
      </c>
      <c r="K220" s="15">
        <f>IF(OR(J220="",LEFT(E220,7)&lt;&gt;"Antwort"),"",IFERROR(A220-INDEX($A$2:$A$293,MATCH(J220,$D$2:$D$293,0)),""))</f>
        <v/>
      </c>
      <c r="L220" s="14">
        <f>IF(E220&lt;&gt;"Kleine Anfrage","",IFERROR(INDEX($D$2:$D$293,MATCH(D220,$J$2:$J$293,0)),"offen"))</f>
        <v/>
      </c>
      <c r="M220" s="14" t="inlineStr">
        <is>
          <t>Aktueller Stand zur Umsetzung des Masterplans Schienenverkehr</t>
        </is>
      </c>
      <c r="N220" s="14" t="inlineStr">
        <is>
          <t>Bundesregierung</t>
        </is>
      </c>
      <c r="O220" s="16" t="inlineStr">
        <is>
          <t>PDF</t>
        </is>
      </c>
      <c r="P220" s="14" t="inlineStr">
        <is>
          <t>CDU/CSU</t>
        </is>
      </c>
      <c r="Q220" s="14" t="inlineStr"/>
      <c r="R220" s="14">
        <f>IF(COUNTIF(Abstimmungen!$B$5:$B$2000,D220)-COUNTIFS(Abstimmungen!$B$5:$B$2000,D220,Abstimmungen!$D$5:$D$2000,"*berweisung*")&gt;0,1,0)</f>
        <v/>
      </c>
    </row>
    <row r="221">
      <c r="A221" s="13" t="n">
        <v>45063</v>
      </c>
      <c r="B221" s="14">
        <f>IF(A221="","",YEAR(A221))</f>
        <v/>
      </c>
      <c r="C221" s="14">
        <f>IF(A221="","",YEAR(A221)&amp;"-Q"&amp;ROUNDUP(MONTH(A221)/3,0))</f>
        <v/>
      </c>
      <c r="D221" s="14" t="inlineStr">
        <is>
          <t>20/6922</t>
        </is>
      </c>
      <c r="E221" s="14" t="inlineStr">
        <is>
          <t>Antwort</t>
        </is>
      </c>
      <c r="F221" s="14" t="inlineStr">
        <is>
          <t>Bundesregierung</t>
        </is>
      </c>
      <c r="G221" s="14" t="inlineStr">
        <is>
          <t>Regierung</t>
        </is>
      </c>
      <c r="H221" s="14" t="inlineStr">
        <is>
          <t>20</t>
        </is>
      </c>
      <c r="I221" s="14" t="inlineStr">
        <is>
          <t>Infrastruktur/Netz</t>
        </is>
      </c>
      <c r="J221" s="14" t="inlineStr">
        <is>
          <t>20/6431</t>
        </is>
      </c>
      <c r="K221" s="15">
        <f>IF(OR(J221="",LEFT(E221,7)&lt;&gt;"Antwort"),"",IFERROR(A221-INDEX($A$2:$A$293,MATCH(J221,$D$2:$D$293,0)),""))</f>
        <v/>
      </c>
      <c r="L221" s="14">
        <f>IF(E221&lt;&gt;"Kleine Anfrage","",IFERROR(INDEX($D$2:$D$293,MATCH(D221,$J$2:$J$293,0)),"offen"))</f>
        <v/>
      </c>
      <c r="M221" s="14" t="inlineStr">
        <is>
          <t>Aktueller Stand zur Umsetzung des Sanierungsplans für das hochbelastete Schienennetz zum Hochleistungsnetz der Deutschen Bahn</t>
        </is>
      </c>
      <c r="N221" s="14" t="inlineStr">
        <is>
          <t>Bundesregierung</t>
        </is>
      </c>
      <c r="O221" s="16" t="inlineStr">
        <is>
          <t>PDF</t>
        </is>
      </c>
      <c r="P221" s="14" t="inlineStr">
        <is>
          <t>CDU/CSU</t>
        </is>
      </c>
      <c r="Q221" s="14" t="inlineStr"/>
      <c r="R221" s="14">
        <f>IF(COUNTIF(Abstimmungen!$B$5:$B$2000,D221)-COUNTIFS(Abstimmungen!$B$5:$B$2000,D221,Abstimmungen!$D$5:$D$2000,"*berweisung*")&gt;0,1,0)</f>
        <v/>
      </c>
    </row>
    <row r="222">
      <c r="A222" s="13" t="n">
        <v>45061</v>
      </c>
      <c r="B222" s="14">
        <f>IF(A222="","",YEAR(A222))</f>
        <v/>
      </c>
      <c r="C222" s="14">
        <f>IF(A222="","",YEAR(A222)&amp;"-Q"&amp;ROUNDUP(MONTH(A222)/3,0))</f>
        <v/>
      </c>
      <c r="D222" s="14" t="inlineStr">
        <is>
          <t>20/6809</t>
        </is>
      </c>
      <c r="E222" s="14" t="inlineStr">
        <is>
          <t>Kleine Anfrage</t>
        </is>
      </c>
      <c r="F222" s="14" t="inlineStr">
        <is>
          <t>AfD</t>
        </is>
      </c>
      <c r="G222" s="14" t="inlineStr">
        <is>
          <t>Opposition</t>
        </is>
      </c>
      <c r="H222" s="14" t="inlineStr">
        <is>
          <t>20</t>
        </is>
      </c>
      <c r="I222" s="14" t="inlineStr">
        <is>
          <t>Bahnhoefe; Kriminalitaet</t>
        </is>
      </c>
      <c r="J222" s="14" t="inlineStr"/>
      <c r="K222" s="15">
        <f>IF(OR(J222="",LEFT(E222,7)&lt;&gt;"Antwort"),"",IFERROR(A222-INDEX($A$2:$A$293,MATCH(J222,$D$2:$D$293,0)),""))</f>
        <v/>
      </c>
      <c r="L222" s="14">
        <f>IF(E222&lt;&gt;"Kleine Anfrage","",IFERROR(INDEX($D$2:$D$293,MATCH(D222,$J$2:$J$293,0)),"offen"))</f>
        <v/>
      </c>
      <c r="M222" s="14" t="inlineStr">
        <is>
          <t>Straftaten an Thüringer Bahnhöfen und Flughäfen in dem Jahr 2022</t>
        </is>
      </c>
      <c r="N222" s="14" t="inlineStr">
        <is>
          <t>Fraktion der AfD</t>
        </is>
      </c>
      <c r="O222" s="16" t="inlineStr">
        <is>
          <t>PDF</t>
        </is>
      </c>
      <c r="P222" s="14" t="inlineStr"/>
      <c r="Q222" s="14" t="inlineStr">
        <is>
          <t>Bahnhöfen / Straftaten</t>
        </is>
      </c>
      <c r="R222" s="14">
        <f>IF(COUNTIF(Abstimmungen!$B$5:$B$2000,D222)-COUNTIFS(Abstimmungen!$B$5:$B$2000,D222,Abstimmungen!$D$5:$D$2000,"*berweisung*")&gt;0,1,0)</f>
        <v/>
      </c>
    </row>
    <row r="223">
      <c r="A223" s="13" t="n">
        <v>45058</v>
      </c>
      <c r="B223" s="14">
        <f>IF(A223="","",YEAR(A223))</f>
        <v/>
      </c>
      <c r="C223" s="14">
        <f>IF(A223="","",YEAR(A223)&amp;"-Q"&amp;ROUNDUP(MONTH(A223)/3,0))</f>
        <v/>
      </c>
      <c r="D223" s="14" t="inlineStr">
        <is>
          <t>20/6801</t>
        </is>
      </c>
      <c r="E223" s="14" t="inlineStr">
        <is>
          <t>Antwort</t>
        </is>
      </c>
      <c r="F223" s="14" t="inlineStr">
        <is>
          <t>Bundesregierung</t>
        </is>
      </c>
      <c r="G223" s="14" t="inlineStr">
        <is>
          <t>Regierung</t>
        </is>
      </c>
      <c r="H223" s="14" t="inlineStr">
        <is>
          <t>20</t>
        </is>
      </c>
      <c r="I223" s="14" t="inlineStr">
        <is>
          <t>Bahnhoefe; Kriminalitaet</t>
        </is>
      </c>
      <c r="J223" s="14" t="inlineStr">
        <is>
          <t>20/6428</t>
        </is>
      </c>
      <c r="K223" s="15">
        <f>IF(OR(J223="",LEFT(E223,7)&lt;&gt;"Antwort"),"",IFERROR(A223-INDEX($A$2:$A$293,MATCH(J223,$D$2:$D$293,0)),""))</f>
        <v/>
      </c>
      <c r="L223" s="14">
        <f>IF(E223&lt;&gt;"Kleine Anfrage","",IFERROR(INDEX($D$2:$D$293,MATCH(D223,$J$2:$J$293,0)),"offen"))</f>
        <v/>
      </c>
      <c r="M223" s="14" t="inlineStr">
        <is>
          <t>Kriminalitätsfelder in Bezug auf Bahnhöfe in Hessen im Jahr 2022</t>
        </is>
      </c>
      <c r="N223" s="14" t="inlineStr">
        <is>
          <t>Bundesregierung</t>
        </is>
      </c>
      <c r="O223" s="16" t="inlineStr">
        <is>
          <t>PDF</t>
        </is>
      </c>
      <c r="P223" s="14" t="inlineStr">
        <is>
          <t>AfD</t>
        </is>
      </c>
      <c r="Q223" s="14" t="inlineStr"/>
      <c r="R223" s="14">
        <f>IF(COUNTIF(Abstimmungen!$B$5:$B$2000,D223)-COUNTIFS(Abstimmungen!$B$5:$B$2000,D223,Abstimmungen!$D$5:$D$2000,"*berweisung*")&gt;0,1,0)</f>
        <v/>
      </c>
    </row>
    <row r="224">
      <c r="A224" s="13" t="n">
        <v>45057</v>
      </c>
      <c r="B224" s="14">
        <f>IF(A224="","",YEAR(A224))</f>
        <v/>
      </c>
      <c r="C224" s="14">
        <f>IF(A224="","",YEAR(A224)&amp;"-Q"&amp;ROUNDUP(MONTH(A224)/3,0))</f>
        <v/>
      </c>
      <c r="D224" s="14" t="inlineStr">
        <is>
          <t>20/6793</t>
        </is>
      </c>
      <c r="E224" s="14" t="inlineStr">
        <is>
          <t>Antwort</t>
        </is>
      </c>
      <c r="F224" s="14" t="inlineStr">
        <is>
          <t>Bundesregierung</t>
        </is>
      </c>
      <c r="G224" s="14" t="inlineStr">
        <is>
          <t>Regierung</t>
        </is>
      </c>
      <c r="H224" s="14" t="inlineStr">
        <is>
          <t>20</t>
        </is>
      </c>
      <c r="I224" s="14" t="inlineStr">
        <is>
          <t>Bahnhoefe; Kriminalitaet</t>
        </is>
      </c>
      <c r="J224" s="14" t="inlineStr">
        <is>
          <t>20/6429</t>
        </is>
      </c>
      <c r="K224" s="15">
        <f>IF(OR(J224="",LEFT(E224,7)&lt;&gt;"Antwort"),"",IFERROR(A224-INDEX($A$2:$A$293,MATCH(J224,$D$2:$D$293,0)),""))</f>
        <v/>
      </c>
      <c r="L224" s="14">
        <f>IF(E224&lt;&gt;"Kleine Anfrage","",IFERROR(INDEX($D$2:$D$293,MATCH(D224,$J$2:$J$293,0)),"offen"))</f>
        <v/>
      </c>
      <c r="M224" s="14" t="inlineStr">
        <is>
          <t>Kriminalitätsfelder in Bezug auf Bahnhöfe im Saarland im Jahr 2022</t>
        </is>
      </c>
      <c r="N224" s="14" t="inlineStr">
        <is>
          <t>Bundesregierung</t>
        </is>
      </c>
      <c r="O224" s="16" t="inlineStr">
        <is>
          <t>PDF</t>
        </is>
      </c>
      <c r="P224" s="14" t="inlineStr">
        <is>
          <t>AfD</t>
        </is>
      </c>
      <c r="Q224" s="14" t="inlineStr"/>
      <c r="R224" s="14">
        <f>IF(COUNTIF(Abstimmungen!$B$5:$B$2000,D224)-COUNTIFS(Abstimmungen!$B$5:$B$2000,D224,Abstimmungen!$D$5:$D$2000,"*berweisung*")&gt;0,1,0)</f>
        <v/>
      </c>
    </row>
    <row r="225">
      <c r="A225" s="13" t="n">
        <v>45056</v>
      </c>
      <c r="B225" s="14">
        <f>IF(A225="","",YEAR(A225))</f>
        <v/>
      </c>
      <c r="C225" s="14">
        <f>IF(A225="","",YEAR(A225)&amp;"-Q"&amp;ROUNDUP(MONTH(A225)/3,0))</f>
        <v/>
      </c>
      <c r="D225" s="14" t="inlineStr">
        <is>
          <t>20/6747</t>
        </is>
      </c>
      <c r="E225" s="14" t="inlineStr">
        <is>
          <t>Kleine Anfrage</t>
        </is>
      </c>
      <c r="F225" s="14" t="inlineStr">
        <is>
          <t>Linke</t>
        </is>
      </c>
      <c r="G225" s="14" t="inlineStr">
        <is>
          <t>Opposition</t>
        </is>
      </c>
      <c r="H225" s="14" t="inlineStr">
        <is>
          <t>20</t>
        </is>
      </c>
      <c r="I225" s="14" t="inlineStr">
        <is>
          <t>Infrastruktur/Netz</t>
        </is>
      </c>
      <c r="J225" s="14" t="inlineStr"/>
      <c r="K225" s="15">
        <f>IF(OR(J225="",LEFT(E225,7)&lt;&gt;"Antwort"),"",IFERROR(A225-INDEX($A$2:$A$293,MATCH(J225,$D$2:$D$293,0)),""))</f>
        <v/>
      </c>
      <c r="L225" s="14">
        <f>IF(E225&lt;&gt;"Kleine Anfrage","",IFERROR(INDEX($D$2:$D$293,MATCH(D225,$J$2:$J$293,0)),"offen"))</f>
        <v/>
      </c>
      <c r="M225" s="14" t="inlineStr">
        <is>
          <t>Entwicklung der Schieneninfrastruktur im Osten Brandenburgs</t>
        </is>
      </c>
      <c r="N225" s="14" t="inlineStr">
        <is>
          <t>Fraktion DIE LINKE</t>
        </is>
      </c>
      <c r="O225" s="16" t="inlineStr">
        <is>
          <t>PDF</t>
        </is>
      </c>
      <c r="P225" s="14" t="inlineStr"/>
      <c r="Q225" s="14" t="inlineStr"/>
      <c r="R225" s="14">
        <f>IF(COUNTIF(Abstimmungen!$B$5:$B$2000,D225)-COUNTIFS(Abstimmungen!$B$5:$B$2000,D225,Abstimmungen!$D$5:$D$2000,"*berweisung*")&gt;0,1,0)</f>
        <v/>
      </c>
    </row>
    <row r="226">
      <c r="A226" s="13" t="n">
        <v>45055</v>
      </c>
      <c r="B226" s="14">
        <f>IF(A226="","",YEAR(A226))</f>
        <v/>
      </c>
      <c r="C226" s="14">
        <f>IF(A226="","",YEAR(A226)&amp;"-Q"&amp;ROUNDUP(MONTH(A226)/3,0))</f>
        <v/>
      </c>
      <c r="D226" s="14" t="inlineStr">
        <is>
          <t>20/6721</t>
        </is>
      </c>
      <c r="E226" s="14" t="inlineStr">
        <is>
          <t>Antrag</t>
        </is>
      </c>
      <c r="F226" s="14" t="inlineStr">
        <is>
          <t>AfD</t>
        </is>
      </c>
      <c r="G226" s="14" t="inlineStr">
        <is>
          <t>Opposition</t>
        </is>
      </c>
      <c r="H226" s="14" t="inlineStr">
        <is>
          <t>20</t>
        </is>
      </c>
      <c r="I226" s="14" t="inlineStr">
        <is>
          <t>Finanzierung</t>
        </is>
      </c>
      <c r="J226" s="14" t="inlineStr"/>
      <c r="K226" s="15">
        <f>IF(OR(J226="",LEFT(E226,7)&lt;&gt;"Antwort"),"",IFERROR(A226-INDEX($A$2:$A$293,MATCH(J226,$D$2:$D$293,0)),""))</f>
        <v/>
      </c>
      <c r="L226" s="14">
        <f>IF(E226&lt;&gt;"Kleine Anfrage","",IFERROR(INDEX($D$2:$D$293,MATCH(D226,$J$2:$J$293,0)),"offen"))</f>
        <v/>
      </c>
      <c r="M226" s="14" t="inlineStr">
        <is>
          <t>Eisenbahn-Investitionen in Westafrika stärker unterstützen - Chancen für die deutsche Bahnindustrie nutzen</t>
        </is>
      </c>
      <c r="N226" s="14" t="inlineStr">
        <is>
          <t>Fraktion der AfD</t>
        </is>
      </c>
      <c r="O226" s="16" t="inlineStr">
        <is>
          <t>PDF</t>
        </is>
      </c>
      <c r="P226" s="14" t="inlineStr"/>
      <c r="Q226" s="14" t="inlineStr"/>
      <c r="R226" s="14">
        <f>IF(COUNTIF(Abstimmungen!$B$5:$B$2000,D226)-COUNTIFS(Abstimmungen!$B$5:$B$2000,D226,Abstimmungen!$D$5:$D$2000,"*berweisung*")&gt;0,1,0)</f>
        <v/>
      </c>
    </row>
    <row r="227">
      <c r="A227" s="13" t="n">
        <v>45035</v>
      </c>
      <c r="B227" s="14">
        <f>IF(A227="","",YEAR(A227))</f>
        <v/>
      </c>
      <c r="C227" s="14">
        <f>IF(A227="","",YEAR(A227)&amp;"-Q"&amp;ROUNDUP(MONTH(A227)/3,0))</f>
        <v/>
      </c>
      <c r="D227" s="14" t="inlineStr">
        <is>
          <t>20/6432</t>
        </is>
      </c>
      <c r="E227" s="14" t="inlineStr">
        <is>
          <t>Kleine Anfrage</t>
        </is>
      </c>
      <c r="F227" s="14" t="inlineStr">
        <is>
          <t>CDU/CSU</t>
        </is>
      </c>
      <c r="G227" s="14" t="inlineStr">
        <is>
          <t>Opposition</t>
        </is>
      </c>
      <c r="H227" s="14" t="inlineStr">
        <is>
          <t>20</t>
        </is>
      </c>
      <c r="I227" s="14" t="inlineStr">
        <is>
          <t>Sonstiges</t>
        </is>
      </c>
      <c r="J227" s="14" t="inlineStr"/>
      <c r="K227" s="15">
        <f>IF(OR(J227="",LEFT(E227,7)&lt;&gt;"Antwort"),"",IFERROR(A227-INDEX($A$2:$A$293,MATCH(J227,$D$2:$D$293,0)),""))</f>
        <v/>
      </c>
      <c r="L227" s="14">
        <f>IF(E227&lt;&gt;"Kleine Anfrage","",IFERROR(INDEX($D$2:$D$293,MATCH(D227,$J$2:$J$293,0)),"offen"))</f>
        <v/>
      </c>
      <c r="M227" s="14" t="inlineStr">
        <is>
          <t>Aktueller Stand zur Umsetzung des Masterplans Schienenverkehr</t>
        </is>
      </c>
      <c r="N227" s="14" t="inlineStr">
        <is>
          <t>Fraktion der CDU/CSU</t>
        </is>
      </c>
      <c r="O227" s="16" t="inlineStr">
        <is>
          <t>PDF</t>
        </is>
      </c>
      <c r="P227" s="14" t="inlineStr"/>
      <c r="Q227" s="14" t="inlineStr"/>
      <c r="R227" s="14">
        <f>IF(COUNTIF(Abstimmungen!$B$5:$B$2000,D227)-COUNTIFS(Abstimmungen!$B$5:$B$2000,D227,Abstimmungen!$D$5:$D$2000,"*berweisung*")&gt;0,1,0)</f>
        <v/>
      </c>
    </row>
    <row r="228">
      <c r="A228" s="13" t="n">
        <v>45035</v>
      </c>
      <c r="B228" s="14">
        <f>IF(A228="","",YEAR(A228))</f>
        <v/>
      </c>
      <c r="C228" s="14">
        <f>IF(A228="","",YEAR(A228)&amp;"-Q"&amp;ROUNDUP(MONTH(A228)/3,0))</f>
        <v/>
      </c>
      <c r="D228" s="14" t="inlineStr">
        <is>
          <t>20/6431</t>
        </is>
      </c>
      <c r="E228" s="14" t="inlineStr">
        <is>
          <t>Kleine Anfrage</t>
        </is>
      </c>
      <c r="F228" s="14" t="inlineStr">
        <is>
          <t>CDU/CSU</t>
        </is>
      </c>
      <c r="G228" s="14" t="inlineStr">
        <is>
          <t>Opposition</t>
        </is>
      </c>
      <c r="H228" s="14" t="inlineStr">
        <is>
          <t>20</t>
        </is>
      </c>
      <c r="I228" s="14" t="inlineStr">
        <is>
          <t>Infrastruktur/Netz</t>
        </is>
      </c>
      <c r="J228" s="14" t="inlineStr"/>
      <c r="K228" s="15">
        <f>IF(OR(J228="",LEFT(E228,7)&lt;&gt;"Antwort"),"",IFERROR(A228-INDEX($A$2:$A$293,MATCH(J228,$D$2:$D$293,0)),""))</f>
        <v/>
      </c>
      <c r="L228" s="14">
        <f>IF(E228&lt;&gt;"Kleine Anfrage","",IFERROR(INDEX($D$2:$D$293,MATCH(D228,$J$2:$J$293,0)),"offen"))</f>
        <v/>
      </c>
      <c r="M228" s="14" t="inlineStr">
        <is>
          <t>Aktueller Stand zur Umsetzung des Sanierungsplans für das hochbelastete Schienennetz zum Hochleistungsnetz der Deutschen Bahn</t>
        </is>
      </c>
      <c r="N228" s="14" t="inlineStr">
        <is>
          <t>Fraktion der CDU/CSU</t>
        </is>
      </c>
      <c r="O228" s="16" t="inlineStr">
        <is>
          <t>PDF</t>
        </is>
      </c>
      <c r="P228" s="14" t="inlineStr"/>
      <c r="Q228" s="14" t="inlineStr"/>
      <c r="R228" s="14">
        <f>IF(COUNTIF(Abstimmungen!$B$5:$B$2000,D228)-COUNTIFS(Abstimmungen!$B$5:$B$2000,D228,Abstimmungen!$D$5:$D$2000,"*berweisung*")&gt;0,1,0)</f>
        <v/>
      </c>
    </row>
    <row r="229">
      <c r="A229" s="13" t="n">
        <v>45035</v>
      </c>
      <c r="B229" s="14">
        <f>IF(A229="","",YEAR(A229))</f>
        <v/>
      </c>
      <c r="C229" s="14">
        <f>IF(A229="","",YEAR(A229)&amp;"-Q"&amp;ROUNDUP(MONTH(A229)/3,0))</f>
        <v/>
      </c>
      <c r="D229" s="14" t="inlineStr">
        <is>
          <t>20/6429</t>
        </is>
      </c>
      <c r="E229" s="14" t="inlineStr">
        <is>
          <t>Kleine Anfrage</t>
        </is>
      </c>
      <c r="F229" s="14" t="inlineStr">
        <is>
          <t>AfD</t>
        </is>
      </c>
      <c r="G229" s="14" t="inlineStr">
        <is>
          <t>Opposition</t>
        </is>
      </c>
      <c r="H229" s="14" t="inlineStr">
        <is>
          <t>20</t>
        </is>
      </c>
      <c r="I229" s="14" t="inlineStr">
        <is>
          <t>Bahnhoefe; Kriminalitaet</t>
        </is>
      </c>
      <c r="J229" s="14" t="inlineStr"/>
      <c r="K229" s="15">
        <f>IF(OR(J229="",LEFT(E229,7)&lt;&gt;"Antwort"),"",IFERROR(A229-INDEX($A$2:$A$293,MATCH(J229,$D$2:$D$293,0)),""))</f>
        <v/>
      </c>
      <c r="L229" s="14">
        <f>IF(E229&lt;&gt;"Kleine Anfrage","",IFERROR(INDEX($D$2:$D$293,MATCH(D229,$J$2:$J$293,0)),"offen"))</f>
        <v/>
      </c>
      <c r="M229" s="14" t="inlineStr">
        <is>
          <t>Kriminalitätsfelder in Bezug auf Bahnhöfe im Saarland im Jahr 2022</t>
        </is>
      </c>
      <c r="N229" s="14" t="inlineStr">
        <is>
          <t>Fraktion der AfD</t>
        </is>
      </c>
      <c r="O229" s="16" t="inlineStr">
        <is>
          <t>PDF</t>
        </is>
      </c>
      <c r="P229" s="14" t="inlineStr"/>
      <c r="Q229" s="14" t="inlineStr">
        <is>
          <t>Bahnhöfe / Kriminalitätsfelder</t>
        </is>
      </c>
      <c r="R229" s="14">
        <f>IF(COUNTIF(Abstimmungen!$B$5:$B$2000,D229)-COUNTIFS(Abstimmungen!$B$5:$B$2000,D229,Abstimmungen!$D$5:$D$2000,"*berweisung*")&gt;0,1,0)</f>
        <v/>
      </c>
    </row>
    <row r="230">
      <c r="A230" s="13" t="n">
        <v>45035</v>
      </c>
      <c r="B230" s="14">
        <f>IF(A230="","",YEAR(A230))</f>
        <v/>
      </c>
      <c r="C230" s="14">
        <f>IF(A230="","",YEAR(A230)&amp;"-Q"&amp;ROUNDUP(MONTH(A230)/3,0))</f>
        <v/>
      </c>
      <c r="D230" s="14" t="inlineStr">
        <is>
          <t>20/6428</t>
        </is>
      </c>
      <c r="E230" s="14" t="inlineStr">
        <is>
          <t>Kleine Anfrage</t>
        </is>
      </c>
      <c r="F230" s="14" t="inlineStr">
        <is>
          <t>AfD</t>
        </is>
      </c>
      <c r="G230" s="14" t="inlineStr">
        <is>
          <t>Opposition</t>
        </is>
      </c>
      <c r="H230" s="14" t="inlineStr">
        <is>
          <t>20</t>
        </is>
      </c>
      <c r="I230" s="14" t="inlineStr">
        <is>
          <t>Bahnhoefe; Kriminalitaet</t>
        </is>
      </c>
      <c r="J230" s="14" t="inlineStr"/>
      <c r="K230" s="15">
        <f>IF(OR(J230="",LEFT(E230,7)&lt;&gt;"Antwort"),"",IFERROR(A230-INDEX($A$2:$A$293,MATCH(J230,$D$2:$D$293,0)),""))</f>
        <v/>
      </c>
      <c r="L230" s="14">
        <f>IF(E230&lt;&gt;"Kleine Anfrage","",IFERROR(INDEX($D$2:$D$293,MATCH(D230,$J$2:$J$293,0)),"offen"))</f>
        <v/>
      </c>
      <c r="M230" s="14" t="inlineStr">
        <is>
          <t>Kriminalitätsfelder in Bezug auf Bahnhöfe in Hessen im Jahr 2022</t>
        </is>
      </c>
      <c r="N230" s="14" t="inlineStr">
        <is>
          <t>Fraktion der AfD</t>
        </is>
      </c>
      <c r="O230" s="16" t="inlineStr">
        <is>
          <t>PDF</t>
        </is>
      </c>
      <c r="P230" s="14" t="inlineStr"/>
      <c r="Q230" s="14" t="inlineStr">
        <is>
          <t>Bahnhöfe / Kriminalitätsfelder</t>
        </is>
      </c>
      <c r="R230" s="14">
        <f>IF(COUNTIF(Abstimmungen!$B$5:$B$2000,D230)-COUNTIFS(Abstimmungen!$B$5:$B$2000,D230,Abstimmungen!$D$5:$D$2000,"*berweisung*")&gt;0,1,0)</f>
        <v/>
      </c>
    </row>
    <row r="231">
      <c r="A231" s="13" t="n">
        <v>45021</v>
      </c>
      <c r="B231" s="14">
        <f>IF(A231="","",YEAR(A231))</f>
        <v/>
      </c>
      <c r="C231" s="14">
        <f>IF(A231="","",YEAR(A231)&amp;"-Q"&amp;ROUNDUP(MONTH(A231)/3,0))</f>
        <v/>
      </c>
      <c r="D231" s="14" t="inlineStr">
        <is>
          <t>20/6345</t>
        </is>
      </c>
      <c r="E231" s="14" t="inlineStr">
        <is>
          <t>Antwort</t>
        </is>
      </c>
      <c r="F231" s="14" t="inlineStr">
        <is>
          <t>Bundesregierung</t>
        </is>
      </c>
      <c r="G231" s="14" t="inlineStr">
        <is>
          <t>Regierung</t>
        </is>
      </c>
      <c r="H231" s="14" t="inlineStr">
        <is>
          <t>20</t>
        </is>
      </c>
      <c r="I231" s="14" t="inlineStr">
        <is>
          <t>Sonstiges</t>
        </is>
      </c>
      <c r="J231" s="14" t="inlineStr">
        <is>
          <t>20/6108</t>
        </is>
      </c>
      <c r="K231" s="15">
        <f>IF(OR(J231="",LEFT(E231,7)&lt;&gt;"Antwort"),"",IFERROR(A231-INDEX($A$2:$A$293,MATCH(J231,$D$2:$D$293,0)),""))</f>
        <v/>
      </c>
      <c r="L231" s="14">
        <f>IF(E231&lt;&gt;"Kleine Anfrage","",IFERROR(INDEX($D$2:$D$293,MATCH(D231,$J$2:$J$293,0)),"offen"))</f>
        <v/>
      </c>
      <c r="M231" s="14" t="inlineStr">
        <is>
          <t>Verwendung von Glyphosat im Schienenverkehr</t>
        </is>
      </c>
      <c r="N231" s="14" t="inlineStr">
        <is>
          <t>Bundesregierung</t>
        </is>
      </c>
      <c r="O231" s="16" t="inlineStr">
        <is>
          <t>PDF</t>
        </is>
      </c>
      <c r="P231" s="14" t="inlineStr">
        <is>
          <t>AfD</t>
        </is>
      </c>
      <c r="Q231" s="14" t="inlineStr"/>
      <c r="R231" s="14">
        <f>IF(COUNTIF(Abstimmungen!$B$5:$B$2000,D231)-COUNTIFS(Abstimmungen!$B$5:$B$2000,D231,Abstimmungen!$D$5:$D$2000,"*berweisung*")&gt;0,1,0)</f>
        <v/>
      </c>
    </row>
    <row r="232">
      <c r="A232" s="13" t="n">
        <v>45009</v>
      </c>
      <c r="B232" s="14">
        <f>IF(A232="","",YEAR(A232))</f>
        <v/>
      </c>
      <c r="C232" s="14">
        <f>IF(A232="","",YEAR(A232)&amp;"-Q"&amp;ROUNDUP(MONTH(A232)/3,0))</f>
        <v/>
      </c>
      <c r="D232" s="14" t="inlineStr">
        <is>
          <t>20/6158</t>
        </is>
      </c>
      <c r="E232" s="14" t="inlineStr">
        <is>
          <t>Antwort</t>
        </is>
      </c>
      <c r="F232" s="14" t="inlineStr">
        <is>
          <t>Bundesregierung</t>
        </is>
      </c>
      <c r="G232" s="14" t="inlineStr">
        <is>
          <t>Regierung</t>
        </is>
      </c>
      <c r="H232" s="14" t="inlineStr">
        <is>
          <t>20</t>
        </is>
      </c>
      <c r="I232" s="14" t="inlineStr">
        <is>
          <t>Bahnhoefe; Kriminalitaet</t>
        </is>
      </c>
      <c r="J232" s="14" t="inlineStr">
        <is>
          <t>20/5955</t>
        </is>
      </c>
      <c r="K232" s="15">
        <f>IF(OR(J232="",LEFT(E232,7)&lt;&gt;"Antwort"),"",IFERROR(A232-INDEX($A$2:$A$293,MATCH(J232,$D$2:$D$293,0)),""))</f>
        <v/>
      </c>
      <c r="L232" s="14">
        <f>IF(E232&lt;&gt;"Kleine Anfrage","",IFERROR(INDEX($D$2:$D$293,MATCH(D232,$J$2:$J$293,0)),"offen"))</f>
        <v/>
      </c>
      <c r="M232" s="14" t="inlineStr">
        <is>
          <t>Kriminalitätsfelder in Bezug auf Bahnhöfe in Baden-Württemberg im zweiten Halbjahr 2022 und im Gesamtjahr 2022</t>
        </is>
      </c>
      <c r="N232" s="14" t="inlineStr">
        <is>
          <t>Bundesregierung</t>
        </is>
      </c>
      <c r="O232" s="16" t="inlineStr">
        <is>
          <t>PDF</t>
        </is>
      </c>
      <c r="P232" s="14" t="inlineStr">
        <is>
          <t>AfD</t>
        </is>
      </c>
      <c r="Q232" s="14" t="inlineStr"/>
      <c r="R232" s="14">
        <f>IF(COUNTIF(Abstimmungen!$B$5:$B$2000,D232)-COUNTIFS(Abstimmungen!$B$5:$B$2000,D232,Abstimmungen!$D$5:$D$2000,"*berweisung*")&gt;0,1,0)</f>
        <v/>
      </c>
    </row>
    <row r="233">
      <c r="A233" s="13" t="n">
        <v>45007</v>
      </c>
      <c r="B233" s="14">
        <f>IF(A233="","",YEAR(A233))</f>
        <v/>
      </c>
      <c r="C233" s="14">
        <f>IF(A233="","",YEAR(A233)&amp;"-Q"&amp;ROUNDUP(MONTH(A233)/3,0))</f>
        <v/>
      </c>
      <c r="D233" s="14" t="inlineStr">
        <is>
          <t>20/6108</t>
        </is>
      </c>
      <c r="E233" s="14" t="inlineStr">
        <is>
          <t>Kleine Anfrage</t>
        </is>
      </c>
      <c r="F233" s="14" t="inlineStr">
        <is>
          <t>AfD</t>
        </is>
      </c>
      <c r="G233" s="14" t="inlineStr">
        <is>
          <t>Opposition</t>
        </is>
      </c>
      <c r="H233" s="14" t="inlineStr">
        <is>
          <t>20</t>
        </is>
      </c>
      <c r="I233" s="14" t="inlineStr">
        <is>
          <t>Sonstiges</t>
        </is>
      </c>
      <c r="J233" s="14" t="inlineStr"/>
      <c r="K233" s="15">
        <f>IF(OR(J233="",LEFT(E233,7)&lt;&gt;"Antwort"),"",IFERROR(A233-INDEX($A$2:$A$293,MATCH(J233,$D$2:$D$293,0)),""))</f>
        <v/>
      </c>
      <c r="L233" s="14">
        <f>IF(E233&lt;&gt;"Kleine Anfrage","",IFERROR(INDEX($D$2:$D$293,MATCH(D233,$J$2:$J$293,0)),"offen"))</f>
        <v/>
      </c>
      <c r="M233" s="14" t="inlineStr">
        <is>
          <t>Verwendung von Glyphosat im Schienenverkehr</t>
        </is>
      </c>
      <c r="N233" s="14" t="inlineStr">
        <is>
          <t>Fraktion der AfD</t>
        </is>
      </c>
      <c r="O233" s="16" t="inlineStr">
        <is>
          <t>PDF</t>
        </is>
      </c>
      <c r="P233" s="14" t="inlineStr"/>
      <c r="Q233" s="14" t="inlineStr"/>
      <c r="R233" s="14">
        <f>IF(COUNTIF(Abstimmungen!$B$5:$B$2000,D233)-COUNTIFS(Abstimmungen!$B$5:$B$2000,D233,Abstimmungen!$D$5:$D$2000,"*berweisung*")&gt;0,1,0)</f>
        <v/>
      </c>
    </row>
    <row r="234">
      <c r="A234" s="13" t="n">
        <v>45006</v>
      </c>
      <c r="B234" s="14">
        <f>IF(A234="","",YEAR(A234))</f>
        <v/>
      </c>
      <c r="C234" s="14">
        <f>IF(A234="","",YEAR(A234)&amp;"-Q"&amp;ROUNDUP(MONTH(A234)/3,0))</f>
        <v/>
      </c>
      <c r="D234" s="14" t="inlineStr">
        <is>
          <t>20/6128</t>
        </is>
      </c>
      <c r="E234" s="14" t="inlineStr">
        <is>
          <t>Antwort</t>
        </is>
      </c>
      <c r="F234" s="14" t="inlineStr">
        <is>
          <t>Bundesregierung</t>
        </is>
      </c>
      <c r="G234" s="14" t="inlineStr">
        <is>
          <t>Regierung</t>
        </is>
      </c>
      <c r="H234" s="14" t="inlineStr">
        <is>
          <t>20</t>
        </is>
      </c>
      <c r="I234" s="14" t="inlineStr">
        <is>
          <t>Sonstiges</t>
        </is>
      </c>
      <c r="J234" s="14" t="inlineStr">
        <is>
          <t>20/5924</t>
        </is>
      </c>
      <c r="K234" s="15">
        <f>IF(OR(J234="",LEFT(E234,7)&lt;&gt;"Antwort"),"",IFERROR(A234-INDEX($A$2:$A$293,MATCH(J234,$D$2:$D$293,0)),""))</f>
        <v/>
      </c>
      <c r="L234" s="14">
        <f>IF(E234&lt;&gt;"Kleine Anfrage","",IFERROR(INDEX($D$2:$D$293,MATCH(D234,$J$2:$J$293,0)),"offen"))</f>
        <v/>
      </c>
      <c r="M234" s="14" t="inlineStr">
        <is>
          <t>Einbindung des Flughafens München in das Hochgeschwindigkeitsnetz der Deutschen Bahn AG</t>
        </is>
      </c>
      <c r="N234" s="14" t="inlineStr">
        <is>
          <t>Bundesregierung</t>
        </is>
      </c>
      <c r="O234" s="16" t="inlineStr">
        <is>
          <t>PDF</t>
        </is>
      </c>
      <c r="P234" s="14" t="inlineStr">
        <is>
          <t>AfD</t>
        </is>
      </c>
      <c r="Q234" s="14" t="inlineStr"/>
      <c r="R234" s="14">
        <f>IF(COUNTIF(Abstimmungen!$B$5:$B$2000,D234)-COUNTIFS(Abstimmungen!$B$5:$B$2000,D234,Abstimmungen!$D$5:$D$2000,"*berweisung*")&gt;0,1,0)</f>
        <v/>
      </c>
    </row>
    <row r="235">
      <c r="A235" s="13" t="n">
        <v>45005</v>
      </c>
      <c r="B235" s="14">
        <f>IF(A235="","",YEAR(A235))</f>
        <v/>
      </c>
      <c r="C235" s="14">
        <f>IF(A235="","",YEAR(A235)&amp;"-Q"&amp;ROUNDUP(MONTH(A235)/3,0))</f>
        <v/>
      </c>
      <c r="D235" s="14" t="inlineStr">
        <is>
          <t>20/6098</t>
        </is>
      </c>
      <c r="E235" s="14" t="inlineStr">
        <is>
          <t>Beschlussempfehlung und Bericht</t>
        </is>
      </c>
      <c r="F235" s="14" t="inlineStr">
        <is>
          <t>Ausschuss für Inneres und Heimat</t>
        </is>
      </c>
      <c r="G235" s="14" t="inlineStr">
        <is>
          <t>Ausschuss</t>
        </is>
      </c>
      <c r="H235" s="14" t="inlineStr">
        <is>
          <t>20</t>
        </is>
      </c>
      <c r="I235" s="14" t="inlineStr">
        <is>
          <t>Bahnhoefe; Kriminalitaet</t>
        </is>
      </c>
      <c r="J235" s="14" t="inlineStr">
        <is>
          <t>20/5808</t>
        </is>
      </c>
      <c r="K235" s="15">
        <f>IF(OR(J235="",LEFT(E235,7)&lt;&gt;"Antwort"),"",IFERROR(A235-INDEX($A$2:$A$293,MATCH(J235,$D$2:$D$293,0)),""))</f>
        <v/>
      </c>
      <c r="L235" s="14">
        <f>IF(E235&lt;&gt;"Kleine Anfrage","",IFERROR(INDEX($D$2:$D$293,MATCH(D235,$J$2:$J$293,0)),"offen"))</f>
        <v/>
      </c>
      <c r="M235" s="14" t="inlineStr">
        <is>
          <t>Bundeslagebild zur Kriminalität in Bahnhöfen und Zügen</t>
        </is>
      </c>
      <c r="N235" s="14" t="inlineStr">
        <is>
          <t>Ausschuss für Inneres und Heimat</t>
        </is>
      </c>
      <c r="O235" s="16" t="inlineStr">
        <is>
          <t>PDF</t>
        </is>
      </c>
      <c r="P235" s="14" t="inlineStr"/>
      <c r="Q235" s="14" t="inlineStr"/>
      <c r="R235" s="14">
        <f>IF(COUNTIF(Abstimmungen!$B$5:$B$2000,D235)-COUNTIFS(Abstimmungen!$B$5:$B$2000,D235,Abstimmungen!$D$5:$D$2000,"*berweisung*")&gt;0,1,0)</f>
        <v/>
      </c>
    </row>
    <row r="236">
      <c r="A236" s="13" t="n">
        <v>45000</v>
      </c>
      <c r="B236" s="14">
        <f>IF(A236="","",YEAR(A236))</f>
        <v/>
      </c>
      <c r="C236" s="14">
        <f>IF(A236="","",YEAR(A236)&amp;"-Q"&amp;ROUNDUP(MONTH(A236)/3,0))</f>
        <v/>
      </c>
      <c r="D236" s="14" t="inlineStr">
        <is>
          <t>20/7025</t>
        </is>
      </c>
      <c r="E236" s="14" t="inlineStr">
        <is>
          <t>Unterrichtung</t>
        </is>
      </c>
      <c r="F236" s="14" t="inlineStr">
        <is>
          <t>Bundesrechnungshof</t>
        </is>
      </c>
      <c r="G236" s="14" t="inlineStr">
        <is>
          <t>Sonstige</t>
        </is>
      </c>
      <c r="H236" s="14" t="inlineStr">
        <is>
          <t>20</t>
        </is>
      </c>
      <c r="I236" s="14" t="inlineStr">
        <is>
          <t>Finanzierung</t>
        </is>
      </c>
      <c r="J236" s="14" t="inlineStr"/>
      <c r="K236" s="15">
        <f>IF(OR(J236="",LEFT(E236,7)&lt;&gt;"Antwort"),"",IFERROR(A236-INDEX($A$2:$A$293,MATCH(J236,$D$2:$D$293,0)),""))</f>
        <v/>
      </c>
      <c r="L236" s="14">
        <f>IF(E236&lt;&gt;"Kleine Anfrage","",IFERROR(INDEX($D$2:$D$293,MATCH(D236,$J$2:$J$293,0)),"offen"))</f>
        <v/>
      </c>
      <c r="M236" s="14" t="inlineStr">
        <is>
          <t>Bericht nach § 99 der Bundeshaushaltsordnung zur Dauerkrise der Deutschen Bahn AG</t>
        </is>
      </c>
      <c r="N236" s="14" t="inlineStr">
        <is>
          <t>Bundesrechnungshof</t>
        </is>
      </c>
      <c r="O236" s="16" t="inlineStr">
        <is>
          <t>PDF</t>
        </is>
      </c>
      <c r="P236" s="14" t="inlineStr"/>
      <c r="Q236" s="14" t="inlineStr"/>
      <c r="R236" s="14">
        <f>IF(COUNTIF(Abstimmungen!$B$5:$B$2000,D236)-COUNTIFS(Abstimmungen!$B$5:$B$2000,D236,Abstimmungen!$D$5:$D$2000,"*berweisung*")&gt;0,1,0)</f>
        <v/>
      </c>
    </row>
    <row r="237">
      <c r="A237" s="13" t="n">
        <v>44999</v>
      </c>
      <c r="B237" s="14">
        <f>IF(A237="","",YEAR(A237))</f>
        <v/>
      </c>
      <c r="C237" s="14">
        <f>IF(A237="","",YEAR(A237)&amp;"-Q"&amp;ROUNDUP(MONTH(A237)/3,0))</f>
        <v/>
      </c>
      <c r="D237" s="14" t="inlineStr">
        <is>
          <t>20/6053</t>
        </is>
      </c>
      <c r="E237" s="14" t="inlineStr">
        <is>
          <t>Antwort</t>
        </is>
      </c>
      <c r="F237" s="14" t="inlineStr">
        <is>
          <t>Bundesregierung</t>
        </is>
      </c>
      <c r="G237" s="14" t="inlineStr">
        <is>
          <t>Regierung</t>
        </is>
      </c>
      <c r="H237" s="14" t="inlineStr">
        <is>
          <t>20</t>
        </is>
      </c>
      <c r="I237" s="14" t="inlineStr">
        <is>
          <t>Infrastruktur/Netz</t>
        </is>
      </c>
      <c r="J237" s="14" t="inlineStr">
        <is>
          <t>20/5726</t>
        </is>
      </c>
      <c r="K237" s="15">
        <f>IF(OR(J237="",LEFT(E237,7)&lt;&gt;"Antwort"),"",IFERROR(A237-INDEX($A$2:$A$293,MATCH(J237,$D$2:$D$293,0)),""))</f>
        <v/>
      </c>
      <c r="L237" s="14">
        <f>IF(E237&lt;&gt;"Kleine Anfrage","",IFERROR(INDEX($D$2:$D$293,MATCH(D237,$J$2:$J$293,0)),"offen"))</f>
        <v/>
      </c>
      <c r="M237" s="14" t="inlineStr">
        <is>
          <t>Elektrifizierung der Bahnstrecke Dresden - Görlitz</t>
        </is>
      </c>
      <c r="N237" s="14" t="inlineStr">
        <is>
          <t>Bundesregierung</t>
        </is>
      </c>
      <c r="O237" s="16" t="inlineStr">
        <is>
          <t>PDF</t>
        </is>
      </c>
      <c r="P237" s="14" t="inlineStr">
        <is>
          <t>AfD</t>
        </is>
      </c>
      <c r="Q237" s="14" t="inlineStr"/>
      <c r="R237" s="14">
        <f>IF(COUNTIF(Abstimmungen!$B$5:$B$2000,D237)-COUNTIFS(Abstimmungen!$B$5:$B$2000,D237,Abstimmungen!$D$5:$D$2000,"*berweisung*")&gt;0,1,0)</f>
        <v/>
      </c>
    </row>
    <row r="238">
      <c r="A238" s="13" t="n">
        <v>44998</v>
      </c>
      <c r="B238" s="14">
        <f>IF(A238="","",YEAR(A238))</f>
        <v/>
      </c>
      <c r="C238" s="14">
        <f>IF(A238="","",YEAR(A238)&amp;"-Q"&amp;ROUNDUP(MONTH(A238)/3,0))</f>
        <v/>
      </c>
      <c r="D238" s="14" t="inlineStr">
        <is>
          <t>20/6049</t>
        </is>
      </c>
      <c r="E238" s="14" t="inlineStr">
        <is>
          <t>Antwort</t>
        </is>
      </c>
      <c r="F238" s="14" t="inlineStr">
        <is>
          <t>Bundesregierung</t>
        </is>
      </c>
      <c r="G238" s="14" t="inlineStr">
        <is>
          <t>Regierung</t>
        </is>
      </c>
      <c r="H238" s="14" t="inlineStr">
        <is>
          <t>20</t>
        </is>
      </c>
      <c r="I238" s="14" t="inlineStr">
        <is>
          <t>Deutschlandticket</t>
        </is>
      </c>
      <c r="J238" s="14" t="inlineStr">
        <is>
          <t>20/5789</t>
        </is>
      </c>
      <c r="K238" s="15">
        <f>IF(OR(J238="",LEFT(E238,7)&lt;&gt;"Antwort"),"",IFERROR(A238-INDEX($A$2:$A$293,MATCH(J238,$D$2:$D$293,0)),""))</f>
        <v/>
      </c>
      <c r="L238" s="14">
        <f>IF(E238&lt;&gt;"Kleine Anfrage","",IFERROR(INDEX($D$2:$D$293,MATCH(D238,$J$2:$J$293,0)),"offen"))</f>
        <v/>
      </c>
      <c r="M238" s="14" t="inlineStr">
        <is>
          <t>Einführung des Deutschlandtickets und fehlende Einnahmeaufteilung zwischen den leistungserbringenden Verkehrsunternehmen</t>
        </is>
      </c>
      <c r="N238" s="14" t="inlineStr">
        <is>
          <t>Bundesregierung</t>
        </is>
      </c>
      <c r="O238" s="16" t="inlineStr">
        <is>
          <t>PDF</t>
        </is>
      </c>
      <c r="P238" s="14" t="inlineStr">
        <is>
          <t>AfD</t>
        </is>
      </c>
      <c r="Q238" s="14" t="inlineStr"/>
      <c r="R238" s="14">
        <f>IF(COUNTIF(Abstimmungen!$B$5:$B$2000,D238)-COUNTIFS(Abstimmungen!$B$5:$B$2000,D238,Abstimmungen!$D$5:$D$2000,"*berweisung*")&gt;0,1,0)</f>
        <v/>
      </c>
    </row>
    <row r="239">
      <c r="A239" s="13" t="n">
        <v>44995</v>
      </c>
      <c r="B239" s="14">
        <f>IF(A239="","",YEAR(A239))</f>
        <v/>
      </c>
      <c r="C239" s="14">
        <f>IF(A239="","",YEAR(A239)&amp;"-Q"&amp;ROUNDUP(MONTH(A239)/3,0))</f>
        <v/>
      </c>
      <c r="D239" s="14" t="inlineStr">
        <is>
          <t>20/5955</t>
        </is>
      </c>
      <c r="E239" s="14" t="inlineStr">
        <is>
          <t>Kleine Anfrage</t>
        </is>
      </c>
      <c r="F239" s="14" t="inlineStr">
        <is>
          <t>AfD</t>
        </is>
      </c>
      <c r="G239" s="14" t="inlineStr">
        <is>
          <t>Opposition</t>
        </is>
      </c>
      <c r="H239" s="14" t="inlineStr">
        <is>
          <t>20</t>
        </is>
      </c>
      <c r="I239" s="14" t="inlineStr">
        <is>
          <t>Bahnhoefe; Kriminalitaet</t>
        </is>
      </c>
      <c r="J239" s="14" t="inlineStr"/>
      <c r="K239" s="15">
        <f>IF(OR(J239="",LEFT(E239,7)&lt;&gt;"Antwort"),"",IFERROR(A239-INDEX($A$2:$A$293,MATCH(J239,$D$2:$D$293,0)),""))</f>
        <v/>
      </c>
      <c r="L239" s="14">
        <f>IF(E239&lt;&gt;"Kleine Anfrage","",IFERROR(INDEX($D$2:$D$293,MATCH(D239,$J$2:$J$293,0)),"offen"))</f>
        <v/>
      </c>
      <c r="M239" s="14" t="inlineStr">
        <is>
          <t>Kriminalitätsfelder in Bezug auf Bahnhöfe in Baden-Württemberg im zweiten Halbjahr 2022 und im Gesamtjahr 2022</t>
        </is>
      </c>
      <c r="N239" s="14" t="inlineStr">
        <is>
          <t>Fraktion der AfD</t>
        </is>
      </c>
      <c r="O239" s="16" t="inlineStr">
        <is>
          <t>PDF</t>
        </is>
      </c>
      <c r="P239" s="14" t="inlineStr"/>
      <c r="Q239" s="14" t="inlineStr">
        <is>
          <t>Bahnhöfe / Kriminalitätsfelder</t>
        </is>
      </c>
      <c r="R239" s="14">
        <f>IF(COUNTIF(Abstimmungen!$B$5:$B$2000,D239)-COUNTIFS(Abstimmungen!$B$5:$B$2000,D239,Abstimmungen!$D$5:$D$2000,"*berweisung*")&gt;0,1,0)</f>
        <v/>
      </c>
    </row>
    <row r="240">
      <c r="A240" s="13" t="n">
        <v>44992</v>
      </c>
      <c r="B240" s="14">
        <f>IF(A240="","",YEAR(A240))</f>
        <v/>
      </c>
      <c r="C240" s="14">
        <f>IF(A240="","",YEAR(A240)&amp;"-Q"&amp;ROUNDUP(MONTH(A240)/3,0))</f>
        <v/>
      </c>
      <c r="D240" s="14" t="inlineStr">
        <is>
          <t>20/5924</t>
        </is>
      </c>
      <c r="E240" s="14" t="inlineStr">
        <is>
          <t>Kleine Anfrage</t>
        </is>
      </c>
      <c r="F240" s="14" t="inlineStr">
        <is>
          <t>AfD</t>
        </is>
      </c>
      <c r="G240" s="14" t="inlineStr">
        <is>
          <t>Opposition</t>
        </is>
      </c>
      <c r="H240" s="14" t="inlineStr">
        <is>
          <t>20</t>
        </is>
      </c>
      <c r="I240" s="14" t="inlineStr">
        <is>
          <t>Sonstiges</t>
        </is>
      </c>
      <c r="J240" s="14" t="inlineStr"/>
      <c r="K240" s="15">
        <f>IF(OR(J240="",LEFT(E240,7)&lt;&gt;"Antwort"),"",IFERROR(A240-INDEX($A$2:$A$293,MATCH(J240,$D$2:$D$293,0)),""))</f>
        <v/>
      </c>
      <c r="L240" s="14">
        <f>IF(E240&lt;&gt;"Kleine Anfrage","",IFERROR(INDEX($D$2:$D$293,MATCH(D240,$J$2:$J$293,0)),"offen"))</f>
        <v/>
      </c>
      <c r="M240" s="14" t="inlineStr">
        <is>
          <t>Einbindung des Flughafens München in das Hochgeschwindigkeitsnetz der Deutschen Bahn AG</t>
        </is>
      </c>
      <c r="N240" s="14" t="inlineStr">
        <is>
          <t>Fraktion der AfD</t>
        </is>
      </c>
      <c r="O240" s="16" t="inlineStr">
        <is>
          <t>PDF</t>
        </is>
      </c>
      <c r="P240" s="14" t="inlineStr"/>
      <c r="Q240" s="14" t="inlineStr"/>
      <c r="R240" s="14">
        <f>IF(COUNTIF(Abstimmungen!$B$5:$B$2000,D240)-COUNTIFS(Abstimmungen!$B$5:$B$2000,D240,Abstimmungen!$D$5:$D$2000,"*berweisung*")&gt;0,1,0)</f>
        <v/>
      </c>
    </row>
    <row r="241">
      <c r="A241" s="13" t="n">
        <v>44985</v>
      </c>
      <c r="B241" s="14">
        <f>IF(A241="","",YEAR(A241))</f>
        <v/>
      </c>
      <c r="C241" s="14">
        <f>IF(A241="","",YEAR(A241)&amp;"-Q"&amp;ROUNDUP(MONTH(A241)/3,0))</f>
        <v/>
      </c>
      <c r="D241" s="14" t="inlineStr">
        <is>
          <t>20/5808</t>
        </is>
      </c>
      <c r="E241" s="14" t="inlineStr">
        <is>
          <t>Antrag</t>
        </is>
      </c>
      <c r="F241" s="14" t="inlineStr">
        <is>
          <t>AfD</t>
        </is>
      </c>
      <c r="G241" s="14" t="inlineStr">
        <is>
          <t>Opposition</t>
        </is>
      </c>
      <c r="H241" s="14" t="inlineStr">
        <is>
          <t>20</t>
        </is>
      </c>
      <c r="I241" s="14" t="inlineStr">
        <is>
          <t>Bahnhoefe; Kriminalitaet</t>
        </is>
      </c>
      <c r="J241" s="14" t="inlineStr"/>
      <c r="K241" s="15">
        <f>IF(OR(J241="",LEFT(E241,7)&lt;&gt;"Antwort"),"",IFERROR(A241-INDEX($A$2:$A$293,MATCH(J241,$D$2:$D$293,0)),""))</f>
        <v/>
      </c>
      <c r="L241" s="14">
        <f>IF(E241&lt;&gt;"Kleine Anfrage","",IFERROR(INDEX($D$2:$D$293,MATCH(D241,$J$2:$J$293,0)),"offen"))</f>
        <v/>
      </c>
      <c r="M241" s="14" t="inlineStr">
        <is>
          <t>Bundeslagebild zur Kriminalität in Bahnhöfen und Zügen</t>
        </is>
      </c>
      <c r="N241" s="14" t="inlineStr">
        <is>
          <t>Fraktion der AfD</t>
        </is>
      </c>
      <c r="O241" s="16" t="inlineStr">
        <is>
          <t>PDF</t>
        </is>
      </c>
      <c r="P241" s="14" t="inlineStr"/>
      <c r="Q241" s="14" t="inlineStr"/>
      <c r="R241" s="14">
        <f>IF(COUNTIF(Abstimmungen!$B$5:$B$2000,D241)-COUNTIFS(Abstimmungen!$B$5:$B$2000,D241,Abstimmungen!$D$5:$D$2000,"*berweisung*")&gt;0,1,0)</f>
        <v/>
      </c>
    </row>
    <row r="242">
      <c r="A242" s="13" t="n">
        <v>44981</v>
      </c>
      <c r="B242" s="14">
        <f>IF(A242="","",YEAR(A242))</f>
        <v/>
      </c>
      <c r="C242" s="14">
        <f>IF(A242="","",YEAR(A242)&amp;"-Q"&amp;ROUNDUP(MONTH(A242)/3,0))</f>
        <v/>
      </c>
      <c r="D242" s="14" t="inlineStr">
        <is>
          <t>20/5705</t>
        </is>
      </c>
      <c r="E242" s="14" t="inlineStr">
        <is>
          <t>Antwort</t>
        </is>
      </c>
      <c r="F242" s="14" t="inlineStr">
        <is>
          <t>Bundesregierung</t>
        </is>
      </c>
      <c r="G242" s="14" t="inlineStr">
        <is>
          <t>Regierung</t>
        </is>
      </c>
      <c r="H242" s="14" t="inlineStr">
        <is>
          <t>20</t>
        </is>
      </c>
      <c r="I242" s="14" t="inlineStr">
        <is>
          <t>Bahnhoefe; Kriminalitaet</t>
        </is>
      </c>
      <c r="J242" s="14" t="inlineStr">
        <is>
          <t>20/5649</t>
        </is>
      </c>
      <c r="K242" s="15">
        <f>IF(OR(J242="",LEFT(E242,7)&lt;&gt;"Antwort"),"",IFERROR(A242-INDEX($A$2:$A$293,MATCH(J242,$D$2:$D$293,0)),""))</f>
        <v/>
      </c>
      <c r="L242" s="14">
        <f>IF(E242&lt;&gt;"Kleine Anfrage","",IFERROR(INDEX($D$2:$D$293,MATCH(D242,$J$2:$J$293,0)),"offen"))</f>
        <v/>
      </c>
      <c r="M242" s="14" t="inlineStr">
        <is>
          <t>Kriminalitätsfelder in Bezug auf Bahnhöfe und Züge im zweiten Halbjahr 2022 und im Gesamtjahr 2022</t>
        </is>
      </c>
      <c r="N242" s="14" t="inlineStr">
        <is>
          <t>Bundesregierung</t>
        </is>
      </c>
      <c r="O242" s="16" t="inlineStr">
        <is>
          <t>PDF</t>
        </is>
      </c>
      <c r="P242" s="14" t="inlineStr">
        <is>
          <t>AfD</t>
        </is>
      </c>
      <c r="Q242" s="14" t="inlineStr"/>
      <c r="R242" s="14">
        <f>IF(COUNTIF(Abstimmungen!$B$5:$B$2000,D242)-COUNTIFS(Abstimmungen!$B$5:$B$2000,D242,Abstimmungen!$D$5:$D$2000,"*berweisung*")&gt;0,1,0)</f>
        <v/>
      </c>
    </row>
    <row r="243">
      <c r="A243" s="13" t="n">
        <v>44981</v>
      </c>
      <c r="B243" s="14">
        <f>IF(A243="","",YEAR(A243))</f>
        <v/>
      </c>
      <c r="C243" s="14">
        <f>IF(A243="","",YEAR(A243)&amp;"-Q"&amp;ROUNDUP(MONTH(A243)/3,0))</f>
        <v/>
      </c>
      <c r="D243" s="14" t="inlineStr">
        <is>
          <t>20/5789</t>
        </is>
      </c>
      <c r="E243" s="14" t="inlineStr">
        <is>
          <t>Kleine Anfrage</t>
        </is>
      </c>
      <c r="F243" s="14" t="inlineStr">
        <is>
          <t>AfD</t>
        </is>
      </c>
      <c r="G243" s="14" t="inlineStr">
        <is>
          <t>Opposition</t>
        </is>
      </c>
      <c r="H243" s="14" t="inlineStr">
        <is>
          <t>20</t>
        </is>
      </c>
      <c r="I243" s="14" t="inlineStr">
        <is>
          <t>Deutschlandticket</t>
        </is>
      </c>
      <c r="J243" s="14" t="inlineStr"/>
      <c r="K243" s="15">
        <f>IF(OR(J243="",LEFT(E243,7)&lt;&gt;"Antwort"),"",IFERROR(A243-INDEX($A$2:$A$293,MATCH(J243,$D$2:$D$293,0)),""))</f>
        <v/>
      </c>
      <c r="L243" s="14">
        <f>IF(E243&lt;&gt;"Kleine Anfrage","",IFERROR(INDEX($D$2:$D$293,MATCH(D243,$J$2:$J$293,0)),"offen"))</f>
        <v/>
      </c>
      <c r="M243" s="14" t="inlineStr">
        <is>
          <t>Einführung des Deutschlandtickets und fehlende Einnahmeaufteilung zwischen den leistungserbringenden Verkehrsunternehmen</t>
        </is>
      </c>
      <c r="N243" s="14" t="inlineStr">
        <is>
          <t>Fraktion der AfD</t>
        </is>
      </c>
      <c r="O243" s="16" t="inlineStr">
        <is>
          <t>PDF</t>
        </is>
      </c>
      <c r="P243" s="14" t="inlineStr"/>
      <c r="Q243" s="14" t="inlineStr"/>
      <c r="R243" s="14">
        <f>IF(COUNTIF(Abstimmungen!$B$5:$B$2000,D243)-COUNTIFS(Abstimmungen!$B$5:$B$2000,D243,Abstimmungen!$D$5:$D$2000,"*berweisung*")&gt;0,1,0)</f>
        <v/>
      </c>
    </row>
    <row r="244">
      <c r="A244" s="13" t="n">
        <v>44977</v>
      </c>
      <c r="B244" s="14">
        <f>IF(A244="","",YEAR(A244))</f>
        <v/>
      </c>
      <c r="C244" s="14">
        <f>IF(A244="","",YEAR(A244)&amp;"-Q"&amp;ROUNDUP(MONTH(A244)/3,0))</f>
        <v/>
      </c>
      <c r="D244" s="14" t="inlineStr">
        <is>
          <t>20/5782</t>
        </is>
      </c>
      <c r="E244" s="14" t="inlineStr">
        <is>
          <t>Antwort</t>
        </is>
      </c>
      <c r="F244" s="14" t="inlineStr">
        <is>
          <t>Bundesregierung</t>
        </is>
      </c>
      <c r="G244" s="14" t="inlineStr">
        <is>
          <t>Regierung</t>
        </is>
      </c>
      <c r="H244" s="14" t="inlineStr">
        <is>
          <t>20</t>
        </is>
      </c>
      <c r="I244" s="14" t="inlineStr">
        <is>
          <t>Personal</t>
        </is>
      </c>
      <c r="J244" s="14" t="inlineStr">
        <is>
          <t>20/5207</t>
        </is>
      </c>
      <c r="K244" s="15">
        <f>IF(OR(J244="",LEFT(E244,7)&lt;&gt;"Antwort"),"",IFERROR(A244-INDEX($A$2:$A$293,MATCH(J244,$D$2:$D$293,0)),""))</f>
        <v/>
      </c>
      <c r="L244" s="14">
        <f>IF(E244&lt;&gt;"Kleine Anfrage","",IFERROR(INDEX($D$2:$D$293,MATCH(D244,$J$2:$J$293,0)),"offen"))</f>
        <v/>
      </c>
      <c r="M244" s="14" t="inlineStr">
        <is>
          <t>Personalbedarf bei der Deutschen Bahn AG</t>
        </is>
      </c>
      <c r="N244" s="14" t="inlineStr">
        <is>
          <t>Bundesregierung</t>
        </is>
      </c>
      <c r="O244" s="16" t="inlineStr">
        <is>
          <t>PDF</t>
        </is>
      </c>
      <c r="P244" s="14" t="inlineStr">
        <is>
          <t>AfD</t>
        </is>
      </c>
      <c r="Q244" s="14" t="inlineStr"/>
      <c r="R244" s="14">
        <f>IF(COUNTIF(Abstimmungen!$B$5:$B$2000,D244)-COUNTIFS(Abstimmungen!$B$5:$B$2000,D244,Abstimmungen!$D$5:$D$2000,"*berweisung*")&gt;0,1,0)</f>
        <v/>
      </c>
    </row>
    <row r="245">
      <c r="A245" s="13" t="n">
        <v>44977</v>
      </c>
      <c r="B245" s="14">
        <f>IF(A245="","",YEAR(A245))</f>
        <v/>
      </c>
      <c r="C245" s="14">
        <f>IF(A245="","",YEAR(A245)&amp;"-Q"&amp;ROUNDUP(MONTH(A245)/3,0))</f>
        <v/>
      </c>
      <c r="D245" s="14" t="inlineStr">
        <is>
          <t>20/5726</t>
        </is>
      </c>
      <c r="E245" s="14" t="inlineStr">
        <is>
          <t>Kleine Anfrage</t>
        </is>
      </c>
      <c r="F245" s="14" t="inlineStr">
        <is>
          <t>AfD</t>
        </is>
      </c>
      <c r="G245" s="14" t="inlineStr">
        <is>
          <t>Opposition</t>
        </is>
      </c>
      <c r="H245" s="14" t="inlineStr">
        <is>
          <t>20</t>
        </is>
      </c>
      <c r="I245" s="14" t="inlineStr">
        <is>
          <t>Infrastruktur/Netz</t>
        </is>
      </c>
      <c r="J245" s="14" t="inlineStr"/>
      <c r="K245" s="15">
        <f>IF(OR(J245="",LEFT(E245,7)&lt;&gt;"Antwort"),"",IFERROR(A245-INDEX($A$2:$A$293,MATCH(J245,$D$2:$D$293,0)),""))</f>
        <v/>
      </c>
      <c r="L245" s="14">
        <f>IF(E245&lt;&gt;"Kleine Anfrage","",IFERROR(INDEX($D$2:$D$293,MATCH(D245,$J$2:$J$293,0)),"offen"))</f>
        <v/>
      </c>
      <c r="M245" s="14" t="inlineStr">
        <is>
          <t>Elektrifizierung der Bahnstrecke Dresden-Görlitz</t>
        </is>
      </c>
      <c r="N245" s="14" t="inlineStr">
        <is>
          <t>Fraktion der AfD</t>
        </is>
      </c>
      <c r="O245" s="16" t="inlineStr">
        <is>
          <t>PDF</t>
        </is>
      </c>
      <c r="P245" s="14" t="inlineStr"/>
      <c r="Q245" s="14" t="inlineStr"/>
      <c r="R245" s="14">
        <f>IF(COUNTIF(Abstimmungen!$B$5:$B$2000,D245)-COUNTIFS(Abstimmungen!$B$5:$B$2000,D245,Abstimmungen!$D$5:$D$2000,"*berweisung*")&gt;0,1,0)</f>
        <v/>
      </c>
    </row>
    <row r="246">
      <c r="A246" s="13" t="n">
        <v>44971</v>
      </c>
      <c r="B246" s="14">
        <f>IF(A246="","",YEAR(A246))</f>
        <v/>
      </c>
      <c r="C246" s="14">
        <f>IF(A246="","",YEAR(A246)&amp;"-Q"&amp;ROUNDUP(MONTH(A246)/3,0))</f>
        <v/>
      </c>
      <c r="D246" s="14" t="inlineStr">
        <is>
          <t>20/5649</t>
        </is>
      </c>
      <c r="E246" s="14" t="inlineStr">
        <is>
          <t>Kleine Anfrage</t>
        </is>
      </c>
      <c r="F246" s="14" t="inlineStr">
        <is>
          <t>AfD</t>
        </is>
      </c>
      <c r="G246" s="14" t="inlineStr">
        <is>
          <t>Opposition</t>
        </is>
      </c>
      <c r="H246" s="14" t="inlineStr">
        <is>
          <t>20</t>
        </is>
      </c>
      <c r="I246" s="14" t="inlineStr">
        <is>
          <t>Bahnhoefe; Kriminalitaet</t>
        </is>
      </c>
      <c r="J246" s="14" t="inlineStr"/>
      <c r="K246" s="15">
        <f>IF(OR(J246="",LEFT(E246,7)&lt;&gt;"Antwort"),"",IFERROR(A246-INDEX($A$2:$A$293,MATCH(J246,$D$2:$D$293,0)),""))</f>
        <v/>
      </c>
      <c r="L246" s="14">
        <f>IF(E246&lt;&gt;"Kleine Anfrage","",IFERROR(INDEX($D$2:$D$293,MATCH(D246,$J$2:$J$293,0)),"offen"))</f>
        <v/>
      </c>
      <c r="M246" s="14" t="inlineStr">
        <is>
          <t>Kriminalitätsfelder in Bezug auf Bahnhöfe und Züge im zweiten Halbjahr 2022 und im Gesamtjahr 2022</t>
        </is>
      </c>
      <c r="N246" s="14" t="inlineStr">
        <is>
          <t>Fraktion der AfD</t>
        </is>
      </c>
      <c r="O246" s="16" t="inlineStr">
        <is>
          <t>PDF</t>
        </is>
      </c>
      <c r="P246" s="14" t="inlineStr"/>
      <c r="Q246" s="14" t="inlineStr">
        <is>
          <t>Bahnhöfe / Kriminalitätsfelder</t>
        </is>
      </c>
      <c r="R246" s="14">
        <f>IF(COUNTIF(Abstimmungen!$B$5:$B$2000,D246)-COUNTIFS(Abstimmungen!$B$5:$B$2000,D246,Abstimmungen!$D$5:$D$2000,"*berweisung*")&gt;0,1,0)</f>
        <v/>
      </c>
    </row>
    <row r="247">
      <c r="A247" s="13" t="n">
        <v>44970</v>
      </c>
      <c r="B247" s="14">
        <f>IF(A247="","",YEAR(A247))</f>
        <v/>
      </c>
      <c r="C247" s="14">
        <f>IF(A247="","",YEAR(A247)&amp;"-Q"&amp;ROUNDUP(MONTH(A247)/3,0))</f>
        <v/>
      </c>
      <c r="D247" s="14" t="inlineStr">
        <is>
          <t>20/5681</t>
        </is>
      </c>
      <c r="E247" s="14" t="inlineStr">
        <is>
          <t>Antwort</t>
        </is>
      </c>
      <c r="F247" s="14" t="inlineStr">
        <is>
          <t>Bundesregierung</t>
        </is>
      </c>
      <c r="G247" s="14" t="inlineStr">
        <is>
          <t>Regierung</t>
        </is>
      </c>
      <c r="H247" s="14" t="inlineStr">
        <is>
          <t>20</t>
        </is>
      </c>
      <c r="I247" s="14" t="inlineStr">
        <is>
          <t>Bahnhoefe</t>
        </is>
      </c>
      <c r="J247" s="14" t="inlineStr">
        <is>
          <t>20/5204</t>
        </is>
      </c>
      <c r="K247" s="15">
        <f>IF(OR(J247="",LEFT(E247,7)&lt;&gt;"Antwort"),"",IFERROR(A247-INDEX($A$2:$A$293,MATCH(J247,$D$2:$D$293,0)),""))</f>
        <v/>
      </c>
      <c r="L247" s="14">
        <f>IF(E247&lt;&gt;"Kleine Anfrage","",IFERROR(INDEX($D$2:$D$293,MATCH(D247,$J$2:$J$293,0)),"offen"))</f>
        <v/>
      </c>
      <c r="M247" s="14" t="inlineStr">
        <is>
          <t>Anzeigen gegen Wohnungslose an Bahnhöfen</t>
        </is>
      </c>
      <c r="N247" s="14" t="inlineStr">
        <is>
          <t>Bundesregierung</t>
        </is>
      </c>
      <c r="O247" s="16" t="inlineStr">
        <is>
          <t>PDF</t>
        </is>
      </c>
      <c r="P247" s="14" t="inlineStr">
        <is>
          <t>Linke</t>
        </is>
      </c>
      <c r="Q247" s="14" t="inlineStr"/>
      <c r="R247" s="14">
        <f>IF(COUNTIF(Abstimmungen!$B$5:$B$2000,D247)-COUNTIFS(Abstimmungen!$B$5:$B$2000,D247,Abstimmungen!$D$5:$D$2000,"*berweisung*")&gt;0,1,0)</f>
        <v/>
      </c>
    </row>
    <row r="248">
      <c r="A248" s="13" t="n">
        <v>44942</v>
      </c>
      <c r="B248" s="14">
        <f>IF(A248="","",YEAR(A248))</f>
        <v/>
      </c>
      <c r="C248" s="14">
        <f>IF(A248="","",YEAR(A248)&amp;"-Q"&amp;ROUNDUP(MONTH(A248)/3,0))</f>
        <v/>
      </c>
      <c r="D248" s="14" t="inlineStr">
        <is>
          <t>20/5207</t>
        </is>
      </c>
      <c r="E248" s="14" t="inlineStr">
        <is>
          <t>Kleine Anfrage</t>
        </is>
      </c>
      <c r="F248" s="14" t="inlineStr">
        <is>
          <t>AfD</t>
        </is>
      </c>
      <c r="G248" s="14" t="inlineStr">
        <is>
          <t>Opposition</t>
        </is>
      </c>
      <c r="H248" s="14" t="inlineStr">
        <is>
          <t>20</t>
        </is>
      </c>
      <c r="I248" s="14" t="inlineStr">
        <is>
          <t>Personal</t>
        </is>
      </c>
      <c r="J248" s="14" t="inlineStr"/>
      <c r="K248" s="15">
        <f>IF(OR(J248="",LEFT(E248,7)&lt;&gt;"Antwort"),"",IFERROR(A248-INDEX($A$2:$A$293,MATCH(J248,$D$2:$D$293,0)),""))</f>
        <v/>
      </c>
      <c r="L248" s="14">
        <f>IF(E248&lt;&gt;"Kleine Anfrage","",IFERROR(INDEX($D$2:$D$293,MATCH(D248,$J$2:$J$293,0)),"offen"))</f>
        <v/>
      </c>
      <c r="M248" s="14" t="inlineStr">
        <is>
          <t>Personalbedarf bei der Deutschen Bahn AG</t>
        </is>
      </c>
      <c r="N248" s="14" t="inlineStr">
        <is>
          <t>Fraktion der AfD</t>
        </is>
      </c>
      <c r="O248" s="16" t="inlineStr">
        <is>
          <t>PDF</t>
        </is>
      </c>
      <c r="P248" s="14" t="inlineStr"/>
      <c r="Q248" s="14" t="inlineStr"/>
      <c r="R248" s="14">
        <f>IF(COUNTIF(Abstimmungen!$B$5:$B$2000,D248)-COUNTIFS(Abstimmungen!$B$5:$B$2000,D248,Abstimmungen!$D$5:$D$2000,"*berweisung*")&gt;0,1,0)</f>
        <v/>
      </c>
    </row>
    <row r="249">
      <c r="A249" s="13" t="n">
        <v>44942</v>
      </c>
      <c r="B249" s="14">
        <f>IF(A249="","",YEAR(A249))</f>
        <v/>
      </c>
      <c r="C249" s="14">
        <f>IF(A249="","",YEAR(A249)&amp;"-Q"&amp;ROUNDUP(MONTH(A249)/3,0))</f>
        <v/>
      </c>
      <c r="D249" s="14" t="inlineStr">
        <is>
          <t>20/5204</t>
        </is>
      </c>
      <c r="E249" s="14" t="inlineStr">
        <is>
          <t>Kleine Anfrage</t>
        </is>
      </c>
      <c r="F249" s="14" t="inlineStr">
        <is>
          <t>Linke</t>
        </is>
      </c>
      <c r="G249" s="14" t="inlineStr">
        <is>
          <t>Opposition</t>
        </is>
      </c>
      <c r="H249" s="14" t="inlineStr">
        <is>
          <t>20</t>
        </is>
      </c>
      <c r="I249" s="14" t="inlineStr">
        <is>
          <t>Bahnhoefe</t>
        </is>
      </c>
      <c r="J249" s="14" t="inlineStr"/>
      <c r="K249" s="15">
        <f>IF(OR(J249="",LEFT(E249,7)&lt;&gt;"Antwort"),"",IFERROR(A249-INDEX($A$2:$A$293,MATCH(J249,$D$2:$D$293,0)),""))</f>
        <v/>
      </c>
      <c r="L249" s="14">
        <f>IF(E249&lt;&gt;"Kleine Anfrage","",IFERROR(INDEX($D$2:$D$293,MATCH(D249,$J$2:$J$293,0)),"offen"))</f>
        <v/>
      </c>
      <c r="M249" s="14" t="inlineStr">
        <is>
          <t>Anzeigen gegen Wohnungslose an Bahnhöfen</t>
        </is>
      </c>
      <c r="N249" s="14" t="inlineStr">
        <is>
          <t>Fraktion DIE LINKE</t>
        </is>
      </c>
      <c r="O249" s="16" t="inlineStr">
        <is>
          <t>PDF</t>
        </is>
      </c>
      <c r="P249" s="14" t="inlineStr"/>
      <c r="Q249" s="14" t="inlineStr"/>
      <c r="R249" s="14">
        <f>IF(COUNTIF(Abstimmungen!$B$5:$B$2000,D249)-COUNTIFS(Abstimmungen!$B$5:$B$2000,D249,Abstimmungen!$D$5:$D$2000,"*berweisung*")&gt;0,1,0)</f>
        <v/>
      </c>
    </row>
    <row r="250">
      <c r="A250" s="13" t="n">
        <v>44928</v>
      </c>
      <c r="B250" s="14">
        <f>IF(A250="","",YEAR(A250))</f>
        <v/>
      </c>
      <c r="C250" s="14">
        <f>IF(A250="","",YEAR(A250)&amp;"-Q"&amp;ROUNDUP(MONTH(A250)/3,0))</f>
        <v/>
      </c>
      <c r="D250" s="14" t="inlineStr">
        <is>
          <t>20/5081</t>
        </is>
      </c>
      <c r="E250" s="14" t="inlineStr">
        <is>
          <t>Antwort</t>
        </is>
      </c>
      <c r="F250" s="14" t="inlineStr">
        <is>
          <t>Bundesregierung</t>
        </is>
      </c>
      <c r="G250" s="14" t="inlineStr">
        <is>
          <t>Regierung</t>
        </is>
      </c>
      <c r="H250" s="14" t="inlineStr">
        <is>
          <t>20</t>
        </is>
      </c>
      <c r="I250" s="14" t="inlineStr">
        <is>
          <t>Bahnhoefe; Kriminalitaet</t>
        </is>
      </c>
      <c r="J250" s="14" t="inlineStr">
        <is>
          <t>20/4804</t>
        </is>
      </c>
      <c r="K250" s="15">
        <f>IF(OR(J250="",LEFT(E250,7)&lt;&gt;"Antwort"),"",IFERROR(A250-INDEX($A$2:$A$293,MATCH(J250,$D$2:$D$293,0)),""))</f>
        <v/>
      </c>
      <c r="L250" s="14">
        <f>IF(E250&lt;&gt;"Kleine Anfrage","",IFERROR(INDEX($D$2:$D$293,MATCH(D250,$J$2:$J$293,0)),"offen"))</f>
        <v/>
      </c>
      <c r="M250" s="14" t="inlineStr">
        <is>
          <t>Vandalismus, Schmierereien und Sachbeschädigung an den Bahnhöfen und in Zügen in Baden-Württemberg</t>
        </is>
      </c>
      <c r="N250" s="14" t="inlineStr">
        <is>
          <t>Bundesregierung</t>
        </is>
      </c>
      <c r="O250" s="16" t="inlineStr">
        <is>
          <t>PDF</t>
        </is>
      </c>
      <c r="P250" s="14" t="inlineStr">
        <is>
          <t>AfD</t>
        </is>
      </c>
      <c r="Q250" s="14" t="inlineStr"/>
      <c r="R250" s="14">
        <f>IF(COUNTIF(Abstimmungen!$B$5:$B$2000,D250)-COUNTIFS(Abstimmungen!$B$5:$B$2000,D250,Abstimmungen!$D$5:$D$2000,"*berweisung*")&gt;0,1,0)</f>
        <v/>
      </c>
    </row>
    <row r="251">
      <c r="A251" s="13" t="n">
        <v>44917</v>
      </c>
      <c r="B251" s="14">
        <f>IF(A251="","",YEAR(A251))</f>
        <v/>
      </c>
      <c r="C251" s="14">
        <f>IF(A251="","",YEAR(A251)&amp;"-Q"&amp;ROUNDUP(MONTH(A251)/3,0))</f>
        <v/>
      </c>
      <c r="D251" s="14" t="inlineStr">
        <is>
          <t>20/5101</t>
        </is>
      </c>
      <c r="E251" s="14" t="inlineStr">
        <is>
          <t>Antwort</t>
        </is>
      </c>
      <c r="F251" s="14" t="inlineStr">
        <is>
          <t>Bundesregierung</t>
        </is>
      </c>
      <c r="G251" s="14" t="inlineStr">
        <is>
          <t>Regierung</t>
        </is>
      </c>
      <c r="H251" s="14" t="inlineStr">
        <is>
          <t>20</t>
        </is>
      </c>
      <c r="I251" s="14" t="inlineStr">
        <is>
          <t>Bahnhoefe; Barrierefreiheit</t>
        </is>
      </c>
      <c r="J251" s="14" t="inlineStr">
        <is>
          <t>20/4633</t>
        </is>
      </c>
      <c r="K251" s="15">
        <f>IF(OR(J251="",LEFT(E251,7)&lt;&gt;"Antwort"),"",IFERROR(A251-INDEX($A$2:$A$293,MATCH(J251,$D$2:$D$293,0)),""))</f>
        <v/>
      </c>
      <c r="L251" s="14">
        <f>IF(E251&lt;&gt;"Kleine Anfrage","",IFERROR(INDEX($D$2:$D$293,MATCH(D251,$J$2:$J$293,0)),"offen"))</f>
        <v/>
      </c>
      <c r="M251" s="14" t="inlineStr">
        <is>
          <t>Ausstattung von Haltepunkten der Deutschen Bahn mit Aufzugsanlagen zum Erreichen der Barrierefreiheit am Beispiel des Haltepunkts Meinsdorf</t>
        </is>
      </c>
      <c r="N251" s="14" t="inlineStr">
        <is>
          <t>Bundesregierung</t>
        </is>
      </c>
      <c r="O251" s="16" t="inlineStr">
        <is>
          <t>PDF</t>
        </is>
      </c>
      <c r="P251" s="14" t="inlineStr">
        <is>
          <t>AfD</t>
        </is>
      </c>
      <c r="Q251" s="14" t="inlineStr"/>
      <c r="R251" s="14">
        <f>IF(COUNTIF(Abstimmungen!$B$5:$B$2000,D251)-COUNTIFS(Abstimmungen!$B$5:$B$2000,D251,Abstimmungen!$D$5:$D$2000,"*berweisung*")&gt;0,1,0)</f>
        <v/>
      </c>
    </row>
    <row r="252">
      <c r="A252" s="13" t="n">
        <v>44915</v>
      </c>
      <c r="B252" s="14">
        <f>IF(A252="","",YEAR(A252))</f>
        <v/>
      </c>
      <c r="C252" s="14">
        <f>IF(A252="","",YEAR(A252)&amp;"-Q"&amp;ROUNDUP(MONTH(A252)/3,0))</f>
        <v/>
      </c>
      <c r="D252" s="14" t="inlineStr">
        <is>
          <t>20/5031</t>
        </is>
      </c>
      <c r="E252" s="14" t="inlineStr">
        <is>
          <t>Antwort</t>
        </is>
      </c>
      <c r="F252" s="14" t="inlineStr">
        <is>
          <t>Bundesregierung</t>
        </is>
      </c>
      <c r="G252" s="14" t="inlineStr">
        <is>
          <t>Regierung</t>
        </is>
      </c>
      <c r="H252" s="14" t="inlineStr">
        <is>
          <t>20</t>
        </is>
      </c>
      <c r="I252" s="14" t="inlineStr">
        <is>
          <t>Sonstiges</t>
        </is>
      </c>
      <c r="J252" s="14" t="inlineStr">
        <is>
          <t>20/4474</t>
        </is>
      </c>
      <c r="K252" s="15">
        <f>IF(OR(J252="",LEFT(E252,7)&lt;&gt;"Antwort"),"",IFERROR(A252-INDEX($A$2:$A$293,MATCH(J252,$D$2:$D$293,0)),""))</f>
        <v/>
      </c>
      <c r="L252" s="14">
        <f>IF(E252&lt;&gt;"Kleine Anfrage","",IFERROR(INDEX($D$2:$D$293,MATCH(D252,$J$2:$J$293,0)),"offen"))</f>
        <v/>
      </c>
      <c r="M252" s="14" t="inlineStr">
        <is>
          <t>Belastungen im deutschen Schienenverkehr und deren Auswirkungen auf Bahnkundinnen und Bahnkunden</t>
        </is>
      </c>
      <c r="N252" s="14" t="inlineStr">
        <is>
          <t>Bundesregierung</t>
        </is>
      </c>
      <c r="O252" s="16" t="inlineStr">
        <is>
          <t>PDF</t>
        </is>
      </c>
      <c r="P252" s="14" t="inlineStr">
        <is>
          <t>CDU/CSU</t>
        </is>
      </c>
      <c r="Q252" s="14" t="inlineStr"/>
      <c r="R252" s="14">
        <f>IF(COUNTIF(Abstimmungen!$B$5:$B$2000,D252)-COUNTIFS(Abstimmungen!$B$5:$B$2000,D252,Abstimmungen!$D$5:$D$2000,"*berweisung*")&gt;0,1,0)</f>
        <v/>
      </c>
    </row>
    <row r="253">
      <c r="A253" s="13" t="n">
        <v>44915</v>
      </c>
      <c r="B253" s="14">
        <f>IF(A253="","",YEAR(A253))</f>
        <v/>
      </c>
      <c r="C253" s="14">
        <f>IF(A253="","",YEAR(A253)&amp;"-Q"&amp;ROUNDUP(MONTH(A253)/3,0))</f>
        <v/>
      </c>
      <c r="D253" s="14" t="inlineStr">
        <is>
          <t>20/5032</t>
        </is>
      </c>
      <c r="E253" s="14" t="inlineStr">
        <is>
          <t>Antwort</t>
        </is>
      </c>
      <c r="F253" s="14" t="inlineStr">
        <is>
          <t>Bundesregierung</t>
        </is>
      </c>
      <c r="G253" s="14" t="inlineStr">
        <is>
          <t>Regierung</t>
        </is>
      </c>
      <c r="H253" s="14" t="inlineStr">
        <is>
          <t>20</t>
        </is>
      </c>
      <c r="I253" s="14" t="inlineStr">
        <is>
          <t>Infrastruktur/Netz</t>
        </is>
      </c>
      <c r="J253" s="14" t="inlineStr">
        <is>
          <t>20/4475</t>
        </is>
      </c>
      <c r="K253" s="15">
        <f>IF(OR(J253="",LEFT(E253,7)&lt;&gt;"Antwort"),"",IFERROR(A253-INDEX($A$2:$A$293,MATCH(J253,$D$2:$D$293,0)),""))</f>
        <v/>
      </c>
      <c r="L253" s="14">
        <f>IF(E253&lt;&gt;"Kleine Anfrage","",IFERROR(INDEX($D$2:$D$293,MATCH(D253,$J$2:$J$293,0)),"offen"))</f>
        <v/>
      </c>
      <c r="M253" s="14" t="inlineStr">
        <is>
          <t>Zustand des deutschen Schienennetzes bzw. der Schieneninfrastruktur</t>
        </is>
      </c>
      <c r="N253" s="14" t="inlineStr">
        <is>
          <t>Bundesregierung</t>
        </is>
      </c>
      <c r="O253" s="16" t="inlineStr">
        <is>
          <t>PDF</t>
        </is>
      </c>
      <c r="P253" s="14" t="inlineStr">
        <is>
          <t>CDU/CSU</t>
        </is>
      </c>
      <c r="Q253" s="14" t="inlineStr"/>
      <c r="R253" s="14">
        <f>IF(COUNTIF(Abstimmungen!$B$5:$B$2000,D253)-COUNTIFS(Abstimmungen!$B$5:$B$2000,D253,Abstimmungen!$D$5:$D$2000,"*berweisung*")&gt;0,1,0)</f>
        <v/>
      </c>
    </row>
    <row r="254">
      <c r="A254" s="13" t="n">
        <v>44901</v>
      </c>
      <c r="B254" s="14">
        <f>IF(A254="","",YEAR(A254))</f>
        <v/>
      </c>
      <c r="C254" s="14">
        <f>IF(A254="","",YEAR(A254)&amp;"-Q"&amp;ROUNDUP(MONTH(A254)/3,0))</f>
        <v/>
      </c>
      <c r="D254" s="14" t="inlineStr">
        <is>
          <t>20/4835</t>
        </is>
      </c>
      <c r="E254" s="14" t="inlineStr">
        <is>
          <t>Antwort</t>
        </is>
      </c>
      <c r="F254" s="14" t="inlineStr">
        <is>
          <t>Bundesregierung</t>
        </is>
      </c>
      <c r="G254" s="14" t="inlineStr">
        <is>
          <t>Regierung</t>
        </is>
      </c>
      <c r="H254" s="14" t="inlineStr">
        <is>
          <t>20</t>
        </is>
      </c>
      <c r="I254" s="14" t="inlineStr">
        <is>
          <t>Deutschlandticket; Sicherheit</t>
        </is>
      </c>
      <c r="J254" s="14" t="inlineStr">
        <is>
          <t>20/4283</t>
        </is>
      </c>
      <c r="K254" s="15">
        <f>IF(OR(J254="",LEFT(E254,7)&lt;&gt;"Antwort"),"",IFERROR(A254-INDEX($A$2:$A$293,MATCH(J254,$D$2:$D$293,0)),""))</f>
        <v/>
      </c>
      <c r="L254" s="14">
        <f>IF(E254&lt;&gt;"Kleine Anfrage","",IFERROR(INDEX($D$2:$D$293,MATCH(D254,$J$2:$J$293,0)),"offen"))</f>
        <v/>
      </c>
      <c r="M254" s="14" t="inlineStr">
        <is>
          <t>Mögliche Gefährdung des Busfernverkehrs und des Wettbewerbs im Schienenpersonenfernverkehr durch ein steuersubventioniertes Deutschlandticket für 49 Euro pro Monat</t>
        </is>
      </c>
      <c r="N254" s="14" t="inlineStr">
        <is>
          <t>Bundesregierung</t>
        </is>
      </c>
      <c r="O254" s="16" t="inlineStr">
        <is>
          <t>PDF</t>
        </is>
      </c>
      <c r="P254" s="14" t="inlineStr">
        <is>
          <t>AfD</t>
        </is>
      </c>
      <c r="Q254" s="14" t="inlineStr"/>
      <c r="R254" s="14">
        <f>IF(COUNTIF(Abstimmungen!$B$5:$B$2000,D254)-COUNTIFS(Abstimmungen!$B$5:$B$2000,D254,Abstimmungen!$D$5:$D$2000,"*berweisung*")&gt;0,1,0)</f>
        <v/>
      </c>
    </row>
    <row r="255">
      <c r="A255" s="13" t="n">
        <v>44900</v>
      </c>
      <c r="B255" s="14">
        <f>IF(A255="","",YEAR(A255))</f>
        <v/>
      </c>
      <c r="C255" s="14">
        <f>IF(A255="","",YEAR(A255)&amp;"-Q"&amp;ROUNDUP(MONTH(A255)/3,0))</f>
        <v/>
      </c>
      <c r="D255" s="14" t="inlineStr">
        <is>
          <t>20/4804</t>
        </is>
      </c>
      <c r="E255" s="14" t="inlineStr">
        <is>
          <t>Kleine Anfrage</t>
        </is>
      </c>
      <c r="F255" s="14" t="inlineStr">
        <is>
          <t>AfD</t>
        </is>
      </c>
      <c r="G255" s="14" t="inlineStr">
        <is>
          <t>Opposition</t>
        </is>
      </c>
      <c r="H255" s="14" t="inlineStr">
        <is>
          <t>20</t>
        </is>
      </c>
      <c r="I255" s="14" t="inlineStr">
        <is>
          <t>Bahnhoefe; Kriminalitaet</t>
        </is>
      </c>
      <c r="J255" s="14" t="inlineStr"/>
      <c r="K255" s="15">
        <f>IF(OR(J255="",LEFT(E255,7)&lt;&gt;"Antwort"),"",IFERROR(A255-INDEX($A$2:$A$293,MATCH(J255,$D$2:$D$293,0)),""))</f>
        <v/>
      </c>
      <c r="L255" s="14">
        <f>IF(E255&lt;&gt;"Kleine Anfrage","",IFERROR(INDEX($D$2:$D$293,MATCH(D255,$J$2:$J$293,0)),"offen"))</f>
        <v/>
      </c>
      <c r="M255" s="14" t="inlineStr">
        <is>
          <t>Vandalismus, Schmierereien und Sachbeschädigung an den Bahnhöfen und in Zügen in Baden-Württembergs</t>
        </is>
      </c>
      <c r="N255" s="14" t="inlineStr">
        <is>
          <t>Fraktion der AfD</t>
        </is>
      </c>
      <c r="O255" s="16" t="inlineStr">
        <is>
          <t>PDF</t>
        </is>
      </c>
      <c r="P255" s="14" t="inlineStr"/>
      <c r="Q255" s="14" t="inlineStr"/>
      <c r="R255" s="14">
        <f>IF(COUNTIF(Abstimmungen!$B$5:$B$2000,D255)-COUNTIFS(Abstimmungen!$B$5:$B$2000,D255,Abstimmungen!$D$5:$D$2000,"*berweisung*")&gt;0,1,0)</f>
        <v/>
      </c>
    </row>
    <row r="256">
      <c r="A256" s="13" t="n">
        <v>44889</v>
      </c>
      <c r="B256" s="14">
        <f>IF(A256="","",YEAR(A256))</f>
        <v/>
      </c>
      <c r="C256" s="14">
        <f>IF(A256="","",YEAR(A256)&amp;"-Q"&amp;ROUNDUP(MONTH(A256)/3,0))</f>
        <v/>
      </c>
      <c r="D256" s="14" t="inlineStr">
        <is>
          <t>20/4633</t>
        </is>
      </c>
      <c r="E256" s="14" t="inlineStr">
        <is>
          <t>Kleine Anfrage</t>
        </is>
      </c>
      <c r="F256" s="14" t="inlineStr">
        <is>
          <t>AfD</t>
        </is>
      </c>
      <c r="G256" s="14" t="inlineStr">
        <is>
          <t>Opposition</t>
        </is>
      </c>
      <c r="H256" s="14" t="inlineStr">
        <is>
          <t>20</t>
        </is>
      </c>
      <c r="I256" s="14" t="inlineStr">
        <is>
          <t>Bahnhoefe; Barrierefreiheit</t>
        </is>
      </c>
      <c r="J256" s="14" t="inlineStr"/>
      <c r="K256" s="15">
        <f>IF(OR(J256="",LEFT(E256,7)&lt;&gt;"Antwort"),"",IFERROR(A256-INDEX($A$2:$A$293,MATCH(J256,$D$2:$D$293,0)),""))</f>
        <v/>
      </c>
      <c r="L256" s="14">
        <f>IF(E256&lt;&gt;"Kleine Anfrage","",IFERROR(INDEX($D$2:$D$293,MATCH(D256,$J$2:$J$293,0)),"offen"))</f>
        <v/>
      </c>
      <c r="M256" s="14" t="inlineStr">
        <is>
          <t>Ausstattung von Haltepunkten der Deutschen Bahn mit Aufzugsanlagen zum Erreichen der Barrierefreiheit am Beispiel des Haltepunkts Meinsdorf</t>
        </is>
      </c>
      <c r="N256" s="14" t="inlineStr">
        <is>
          <t>Fraktion der AfD</t>
        </is>
      </c>
      <c r="O256" s="16" t="inlineStr">
        <is>
          <t>PDF</t>
        </is>
      </c>
      <c r="P256" s="14" t="inlineStr"/>
      <c r="Q256" s="14" t="inlineStr"/>
      <c r="R256" s="14">
        <f>IF(COUNTIF(Abstimmungen!$B$5:$B$2000,D256)-COUNTIFS(Abstimmungen!$B$5:$B$2000,D256,Abstimmungen!$D$5:$D$2000,"*berweisung*")&gt;0,1,0)</f>
        <v/>
      </c>
    </row>
    <row r="257">
      <c r="A257" s="13" t="n">
        <v>44881</v>
      </c>
      <c r="B257" s="14">
        <f>IF(A257="","",YEAR(A257))</f>
        <v/>
      </c>
      <c r="C257" s="14">
        <f>IF(A257="","",YEAR(A257)&amp;"-Q"&amp;ROUNDUP(MONTH(A257)/3,0))</f>
        <v/>
      </c>
      <c r="D257" s="14" t="inlineStr">
        <is>
          <t>20/4493</t>
        </is>
      </c>
      <c r="E257" s="14" t="inlineStr">
        <is>
          <t>Antwort</t>
        </is>
      </c>
      <c r="F257" s="14" t="inlineStr">
        <is>
          <t>Bundesregierung</t>
        </is>
      </c>
      <c r="G257" s="14" t="inlineStr">
        <is>
          <t>Regierung</t>
        </is>
      </c>
      <c r="H257" s="14" t="inlineStr">
        <is>
          <t>20</t>
        </is>
      </c>
      <c r="I257" s="14" t="inlineStr">
        <is>
          <t>Konzernstruktur/DB AG</t>
        </is>
      </c>
      <c r="J257" s="14" t="inlineStr">
        <is>
          <t>20/4188</t>
        </is>
      </c>
      <c r="K257" s="15">
        <f>IF(OR(J257="",LEFT(E257,7)&lt;&gt;"Antwort"),"",IFERROR(A257-INDEX($A$2:$A$293,MATCH(J257,$D$2:$D$293,0)),""))</f>
        <v/>
      </c>
      <c r="L257" s="14">
        <f>IF(E257&lt;&gt;"Kleine Anfrage","",IFERROR(INDEX($D$2:$D$293,MATCH(D257,$J$2:$J$293,0)),"offen"))</f>
        <v/>
      </c>
      <c r="M257" s="14" t="inlineStr">
        <is>
          <t>Deutsche Bahn AG als möglicher Sponsor von Veranstaltungen politischer Parteien</t>
        </is>
      </c>
      <c r="N257" s="14" t="inlineStr">
        <is>
          <t>Bundesregierung</t>
        </is>
      </c>
      <c r="O257" s="16" t="inlineStr">
        <is>
          <t>PDF</t>
        </is>
      </c>
      <c r="P257" s="14" t="inlineStr">
        <is>
          <t>AfD</t>
        </is>
      </c>
      <c r="Q257" s="14" t="inlineStr"/>
      <c r="R257" s="14">
        <f>IF(COUNTIF(Abstimmungen!$B$5:$B$2000,D257)-COUNTIFS(Abstimmungen!$B$5:$B$2000,D257,Abstimmungen!$D$5:$D$2000,"*berweisung*")&gt;0,1,0)</f>
        <v/>
      </c>
    </row>
    <row r="258">
      <c r="A258" s="13" t="n">
        <v>44880</v>
      </c>
      <c r="B258" s="14">
        <f>IF(A258="","",YEAR(A258))</f>
        <v/>
      </c>
      <c r="C258" s="14">
        <f>IF(A258="","",YEAR(A258)&amp;"-Q"&amp;ROUNDUP(MONTH(A258)/3,0))</f>
        <v/>
      </c>
      <c r="D258" s="14" t="inlineStr">
        <is>
          <t>20/4474</t>
        </is>
      </c>
      <c r="E258" s="14" t="inlineStr">
        <is>
          <t>Kleine Anfrage</t>
        </is>
      </c>
      <c r="F258" s="14" t="inlineStr">
        <is>
          <t>CDU/CSU</t>
        </is>
      </c>
      <c r="G258" s="14" t="inlineStr">
        <is>
          <t>Opposition</t>
        </is>
      </c>
      <c r="H258" s="14" t="inlineStr">
        <is>
          <t>20</t>
        </is>
      </c>
      <c r="I258" s="14" t="inlineStr">
        <is>
          <t>Sonstiges</t>
        </is>
      </c>
      <c r="J258" s="14" t="inlineStr"/>
      <c r="K258" s="15">
        <f>IF(OR(J258="",LEFT(E258,7)&lt;&gt;"Antwort"),"",IFERROR(A258-INDEX($A$2:$A$293,MATCH(J258,$D$2:$D$293,0)),""))</f>
        <v/>
      </c>
      <c r="L258" s="14">
        <f>IF(E258&lt;&gt;"Kleine Anfrage","",IFERROR(INDEX($D$2:$D$293,MATCH(D258,$J$2:$J$293,0)),"offen"))</f>
        <v/>
      </c>
      <c r="M258" s="14" t="inlineStr">
        <is>
          <t>Belastungen im Deutschen Schienenverkehr und deren Auswirkungen auf Bahnkundinnen und Bahnkunden</t>
        </is>
      </c>
      <c r="N258" s="14" t="inlineStr">
        <is>
          <t>Fraktion der CDU/CSU</t>
        </is>
      </c>
      <c r="O258" s="16" t="inlineStr">
        <is>
          <t>PDF</t>
        </is>
      </c>
      <c r="P258" s="14" t="inlineStr"/>
      <c r="Q258" s="14" t="inlineStr"/>
      <c r="R258" s="14">
        <f>IF(COUNTIF(Abstimmungen!$B$5:$B$2000,D258)-COUNTIFS(Abstimmungen!$B$5:$B$2000,D258,Abstimmungen!$D$5:$D$2000,"*berweisung*")&gt;0,1,0)</f>
        <v/>
      </c>
    </row>
    <row r="259">
      <c r="A259" s="13" t="n">
        <v>44880</v>
      </c>
      <c r="B259" s="14">
        <f>IF(A259="","",YEAR(A259))</f>
        <v/>
      </c>
      <c r="C259" s="14">
        <f>IF(A259="","",YEAR(A259)&amp;"-Q"&amp;ROUNDUP(MONTH(A259)/3,0))</f>
        <v/>
      </c>
      <c r="D259" s="14" t="inlineStr">
        <is>
          <t>20/4475</t>
        </is>
      </c>
      <c r="E259" s="14" t="inlineStr">
        <is>
          <t>Kleine Anfrage</t>
        </is>
      </c>
      <c r="F259" s="14" t="inlineStr">
        <is>
          <t>CDU/CSU</t>
        </is>
      </c>
      <c r="G259" s="14" t="inlineStr">
        <is>
          <t>Opposition</t>
        </is>
      </c>
      <c r="H259" s="14" t="inlineStr">
        <is>
          <t>20</t>
        </is>
      </c>
      <c r="I259" s="14" t="inlineStr">
        <is>
          <t>Infrastruktur/Netz</t>
        </is>
      </c>
      <c r="J259" s="14" t="inlineStr"/>
      <c r="K259" s="15">
        <f>IF(OR(J259="",LEFT(E259,7)&lt;&gt;"Antwort"),"",IFERROR(A259-INDEX($A$2:$A$293,MATCH(J259,$D$2:$D$293,0)),""))</f>
        <v/>
      </c>
      <c r="L259" s="14">
        <f>IF(E259&lt;&gt;"Kleine Anfrage","",IFERROR(INDEX($D$2:$D$293,MATCH(D259,$J$2:$J$293,0)),"offen"))</f>
        <v/>
      </c>
      <c r="M259" s="14" t="inlineStr">
        <is>
          <t>Zustand des deutschen Schienennetzes bzw. der Schienen-Infrastruktur</t>
        </is>
      </c>
      <c r="N259" s="14" t="inlineStr">
        <is>
          <t>Fraktion der CDU/CSU</t>
        </is>
      </c>
      <c r="O259" s="16" t="inlineStr">
        <is>
          <t>PDF</t>
        </is>
      </c>
      <c r="P259" s="14" t="inlineStr"/>
      <c r="Q259" s="14" t="inlineStr"/>
      <c r="R259" s="14">
        <f>IF(COUNTIF(Abstimmungen!$B$5:$B$2000,D259)-COUNTIFS(Abstimmungen!$B$5:$B$2000,D259,Abstimmungen!$D$5:$D$2000,"*berweisung*")&gt;0,1,0)</f>
        <v/>
      </c>
    </row>
    <row r="260">
      <c r="A260" s="13" t="n">
        <v>44872</v>
      </c>
      <c r="B260" s="14">
        <f>IF(A260="","",YEAR(A260))</f>
        <v/>
      </c>
      <c r="C260" s="14">
        <f>IF(A260="","",YEAR(A260)&amp;"-Q"&amp;ROUNDUP(MONTH(A260)/3,0))</f>
        <v/>
      </c>
      <c r="D260" s="14" t="inlineStr">
        <is>
          <t>20/4283</t>
        </is>
      </c>
      <c r="E260" s="14" t="inlineStr">
        <is>
          <t>Kleine Anfrage</t>
        </is>
      </c>
      <c r="F260" s="14" t="inlineStr">
        <is>
          <t>AfD</t>
        </is>
      </c>
      <c r="G260" s="14" t="inlineStr">
        <is>
          <t>Opposition</t>
        </is>
      </c>
      <c r="H260" s="14" t="inlineStr">
        <is>
          <t>20</t>
        </is>
      </c>
      <c r="I260" s="14" t="inlineStr">
        <is>
          <t>Deutschlandticket; Sicherheit</t>
        </is>
      </c>
      <c r="J260" s="14" t="inlineStr"/>
      <c r="K260" s="15">
        <f>IF(OR(J260="",LEFT(E260,7)&lt;&gt;"Antwort"),"",IFERROR(A260-INDEX($A$2:$A$293,MATCH(J260,$D$2:$D$293,0)),""))</f>
        <v/>
      </c>
      <c r="L260" s="14">
        <f>IF(E260&lt;&gt;"Kleine Anfrage","",IFERROR(INDEX($D$2:$D$293,MATCH(D260,$J$2:$J$293,0)),"offen"))</f>
        <v/>
      </c>
      <c r="M260" s="14" t="inlineStr">
        <is>
          <t>Mögliche Gefährdung des Busfernverkehrs und des Wettbewerbs im Schienenpersonenfernverkehr durch ein steuersubventioniertes Deutschlandticket für 49 Euro pro Monat</t>
        </is>
      </c>
      <c r="N260" s="14" t="inlineStr">
        <is>
          <t>Fraktion der AfD</t>
        </is>
      </c>
      <c r="O260" s="16" t="inlineStr">
        <is>
          <t>PDF</t>
        </is>
      </c>
      <c r="P260" s="14" t="inlineStr"/>
      <c r="Q260" s="14" t="inlineStr"/>
      <c r="R260" s="14">
        <f>IF(COUNTIF(Abstimmungen!$B$5:$B$2000,D260)-COUNTIFS(Abstimmungen!$B$5:$B$2000,D260,Abstimmungen!$D$5:$D$2000,"*berweisung*")&gt;0,1,0)</f>
        <v/>
      </c>
    </row>
    <row r="261">
      <c r="A261" s="13" t="n">
        <v>44859</v>
      </c>
      <c r="B261" s="14">
        <f>IF(A261="","",YEAR(A261))</f>
        <v/>
      </c>
      <c r="C261" s="14">
        <f>IF(A261="","",YEAR(A261)&amp;"-Q"&amp;ROUNDUP(MONTH(A261)/3,0))</f>
        <v/>
      </c>
      <c r="D261" s="14" t="inlineStr">
        <is>
          <t>20/4188</t>
        </is>
      </c>
      <c r="E261" s="14" t="inlineStr">
        <is>
          <t>Kleine Anfrage</t>
        </is>
      </c>
      <c r="F261" s="14" t="inlineStr">
        <is>
          <t>AfD</t>
        </is>
      </c>
      <c r="G261" s="14" t="inlineStr">
        <is>
          <t>Opposition</t>
        </is>
      </c>
      <c r="H261" s="14" t="inlineStr">
        <is>
          <t>20</t>
        </is>
      </c>
      <c r="I261" s="14" t="inlineStr">
        <is>
          <t>Konzernstruktur/DB AG</t>
        </is>
      </c>
      <c r="J261" s="14" t="inlineStr"/>
      <c r="K261" s="15">
        <f>IF(OR(J261="",LEFT(E261,7)&lt;&gt;"Antwort"),"",IFERROR(A261-INDEX($A$2:$A$293,MATCH(J261,$D$2:$D$293,0)),""))</f>
        <v/>
      </c>
      <c r="L261" s="14">
        <f>IF(E261&lt;&gt;"Kleine Anfrage","",IFERROR(INDEX($D$2:$D$293,MATCH(D261,$J$2:$J$293,0)),"offen"))</f>
        <v/>
      </c>
      <c r="M261" s="14" t="inlineStr">
        <is>
          <t>Deutsche Bahn AG als möglicher Sponsor von Veranstaltungen politischer Parteien</t>
        </is>
      </c>
      <c r="N261" s="14" t="inlineStr">
        <is>
          <t>Fraktion der AfD</t>
        </is>
      </c>
      <c r="O261" s="16" t="inlineStr">
        <is>
          <t>PDF</t>
        </is>
      </c>
      <c r="P261" s="14" t="inlineStr"/>
      <c r="Q261" s="14" t="inlineStr"/>
      <c r="R261" s="14">
        <f>IF(COUNTIF(Abstimmungen!$B$5:$B$2000,D261)-COUNTIFS(Abstimmungen!$B$5:$B$2000,D261,Abstimmungen!$D$5:$D$2000,"*berweisung*")&gt;0,1,0)</f>
        <v/>
      </c>
    </row>
    <row r="262">
      <c r="A262" s="13" t="n">
        <v>44852</v>
      </c>
      <c r="B262" s="14">
        <f>IF(A262="","",YEAR(A262))</f>
        <v/>
      </c>
      <c r="C262" s="14">
        <f>IF(A262="","",YEAR(A262)&amp;"-Q"&amp;ROUNDUP(MONTH(A262)/3,0))</f>
        <v/>
      </c>
      <c r="D262" s="14" t="inlineStr">
        <is>
          <t>20/4301</t>
        </is>
      </c>
      <c r="E262" s="14" t="inlineStr">
        <is>
          <t>Antwort</t>
        </is>
      </c>
      <c r="F262" s="14" t="inlineStr">
        <is>
          <t>Bundesregierung</t>
        </is>
      </c>
      <c r="G262" s="14" t="inlineStr">
        <is>
          <t>Regierung</t>
        </is>
      </c>
      <c r="H262" s="14" t="inlineStr">
        <is>
          <t>20</t>
        </is>
      </c>
      <c r="I262" s="14" t="inlineStr">
        <is>
          <t>Bahnhoefe; Barrierefreiheit</t>
        </is>
      </c>
      <c r="J262" s="14" t="inlineStr">
        <is>
          <t>20/3216</t>
        </is>
      </c>
      <c r="K262" s="15">
        <f>IF(OR(J262="",LEFT(E262,7)&lt;&gt;"Antwort"),"",IFERROR(A262-INDEX($A$2:$A$293,MATCH(J262,$D$2:$D$293,0)),""))</f>
        <v/>
      </c>
      <c r="L262" s="14">
        <f>IF(E262&lt;&gt;"Kleine Anfrage","",IFERROR(INDEX($D$2:$D$293,MATCH(D262,$J$2:$J$293,0)),"offen"))</f>
        <v/>
      </c>
      <c r="M262" s="14" t="inlineStr">
        <is>
          <t>Barrierefreiheit der Bahnhöfe, Haltepunkte und Züge in Deutschland</t>
        </is>
      </c>
      <c r="N262" s="14" t="inlineStr">
        <is>
          <t>Bundesregierung</t>
        </is>
      </c>
      <c r="O262" s="16" t="inlineStr">
        <is>
          <t>PDF</t>
        </is>
      </c>
      <c r="P262" s="14" t="inlineStr">
        <is>
          <t>Linke</t>
        </is>
      </c>
      <c r="Q262" s="14" t="inlineStr"/>
      <c r="R262" s="14">
        <f>IF(COUNTIF(Abstimmungen!$B$5:$B$2000,D262)-COUNTIFS(Abstimmungen!$B$5:$B$2000,D262,Abstimmungen!$D$5:$D$2000,"*berweisung*")&gt;0,1,0)</f>
        <v/>
      </c>
    </row>
    <row r="263">
      <c r="A263" s="13" t="n">
        <v>44845</v>
      </c>
      <c r="B263" s="14">
        <f>IF(A263="","",YEAR(A263))</f>
        <v/>
      </c>
      <c r="C263" s="14">
        <f>IF(A263="","",YEAR(A263)&amp;"-Q"&amp;ROUNDUP(MONTH(A263)/3,0))</f>
        <v/>
      </c>
      <c r="D263" s="14" t="inlineStr">
        <is>
          <t>20/4017</t>
        </is>
      </c>
      <c r="E263" s="14" t="inlineStr">
        <is>
          <t>Antwort</t>
        </is>
      </c>
      <c r="F263" s="14" t="inlineStr">
        <is>
          <t>Bundesregierung</t>
        </is>
      </c>
      <c r="G263" s="14" t="inlineStr">
        <is>
          <t>Regierung</t>
        </is>
      </c>
      <c r="H263" s="14" t="inlineStr">
        <is>
          <t>20</t>
        </is>
      </c>
      <c r="I263" s="14" t="inlineStr">
        <is>
          <t>Sonstiges</t>
        </is>
      </c>
      <c r="J263" s="14" t="inlineStr">
        <is>
          <t>20/3247</t>
        </is>
      </c>
      <c r="K263" s="15">
        <f>IF(OR(J263="",LEFT(E263,7)&lt;&gt;"Antwort"),"",IFERROR(A263-INDEX($A$2:$A$293,MATCH(J263,$D$2:$D$293,0)),""))</f>
        <v/>
      </c>
      <c r="L263" s="14">
        <f>IF(E263&lt;&gt;"Kleine Anfrage","",IFERROR(INDEX($D$2:$D$293,MATCH(D263,$J$2:$J$293,0)),"offen"))</f>
        <v/>
      </c>
      <c r="M263" s="14" t="inlineStr">
        <is>
          <t>Stromsparpläne der Deutschen Bahn AG</t>
        </is>
      </c>
      <c r="N263" s="14" t="inlineStr">
        <is>
          <t>Bundesregierung</t>
        </is>
      </c>
      <c r="O263" s="16" t="inlineStr">
        <is>
          <t>PDF</t>
        </is>
      </c>
      <c r="P263" s="14" t="inlineStr">
        <is>
          <t>AfD</t>
        </is>
      </c>
      <c r="Q263" s="14" t="inlineStr"/>
      <c r="R263" s="14">
        <f>IF(COUNTIF(Abstimmungen!$B$5:$B$2000,D263)-COUNTIFS(Abstimmungen!$B$5:$B$2000,D263,Abstimmungen!$D$5:$D$2000,"*berweisung*")&gt;0,1,0)</f>
        <v/>
      </c>
    </row>
    <row r="264">
      <c r="A264" s="13" t="n">
        <v>44834</v>
      </c>
      <c r="B264" s="14">
        <f>IF(A264="","",YEAR(A264))</f>
        <v/>
      </c>
      <c r="C264" s="14">
        <f>IF(A264="","",YEAR(A264)&amp;"-Q"&amp;ROUNDUP(MONTH(A264)/3,0))</f>
        <v/>
      </c>
      <c r="D264" s="14" t="inlineStr">
        <is>
          <t>20/3805</t>
        </is>
      </c>
      <c r="E264" s="14" t="inlineStr">
        <is>
          <t>Antwort</t>
        </is>
      </c>
      <c r="F264" s="14" t="inlineStr">
        <is>
          <t>Bundesregierung</t>
        </is>
      </c>
      <c r="G264" s="14" t="inlineStr">
        <is>
          <t>Regierung</t>
        </is>
      </c>
      <c r="H264" s="14" t="inlineStr">
        <is>
          <t>20</t>
        </is>
      </c>
      <c r="I264" s="14" t="inlineStr">
        <is>
          <t>Bahnhoefe; Kriminalitaet</t>
        </is>
      </c>
      <c r="J264" s="14" t="inlineStr">
        <is>
          <t>20/3424</t>
        </is>
      </c>
      <c r="K264" s="15">
        <f>IF(OR(J264="",LEFT(E264,7)&lt;&gt;"Antwort"),"",IFERROR(A264-INDEX($A$2:$A$293,MATCH(J264,$D$2:$D$293,0)),""))</f>
        <v/>
      </c>
      <c r="L264" s="14">
        <f>IF(E264&lt;&gt;"Kleine Anfrage","",IFERROR(INDEX($D$2:$D$293,MATCH(D264,$J$2:$J$293,0)),"offen"))</f>
        <v/>
      </c>
      <c r="M264" s="14" t="inlineStr">
        <is>
          <t>Kriminalitätsfelder in Bezug auf Bahnhöfe in Baden-Württemberg im zweiten Halbjahr 2021 und ersten Halbjahr 2022</t>
        </is>
      </c>
      <c r="N264" s="14" t="inlineStr">
        <is>
          <t>Bundesregierung</t>
        </is>
      </c>
      <c r="O264" s="16" t="inlineStr">
        <is>
          <t>PDF</t>
        </is>
      </c>
      <c r="P264" s="14" t="inlineStr">
        <is>
          <t>AfD</t>
        </is>
      </c>
      <c r="Q264" s="14" t="inlineStr"/>
      <c r="R264" s="14">
        <f>IF(COUNTIF(Abstimmungen!$B$5:$B$2000,D264)-COUNTIFS(Abstimmungen!$B$5:$B$2000,D264,Abstimmungen!$D$5:$D$2000,"*berweisung*")&gt;0,1,0)</f>
        <v/>
      </c>
    </row>
    <row r="265">
      <c r="A265" s="13" t="n">
        <v>44833</v>
      </c>
      <c r="B265" s="14">
        <f>IF(A265="","",YEAR(A265))</f>
        <v/>
      </c>
      <c r="C265" s="14">
        <f>IF(A265="","",YEAR(A265)&amp;"-Q"&amp;ROUNDUP(MONTH(A265)/3,0))</f>
        <v/>
      </c>
      <c r="D265" s="14" t="inlineStr">
        <is>
          <t>20/3764</t>
        </is>
      </c>
      <c r="E265" s="14" t="inlineStr">
        <is>
          <t>Antwort</t>
        </is>
      </c>
      <c r="F265" s="14" t="inlineStr">
        <is>
          <t>Bundesregierung</t>
        </is>
      </c>
      <c r="G265" s="14" t="inlineStr">
        <is>
          <t>Regierung</t>
        </is>
      </c>
      <c r="H265" s="14" t="inlineStr">
        <is>
          <t>20</t>
        </is>
      </c>
      <c r="I265" s="14" t="inlineStr">
        <is>
          <t>Bahnhoefe; Kriminalitaet</t>
        </is>
      </c>
      <c r="J265" s="14" t="inlineStr">
        <is>
          <t>20/3423</t>
        </is>
      </c>
      <c r="K265" s="15">
        <f>IF(OR(J265="",LEFT(E265,7)&lt;&gt;"Antwort"),"",IFERROR(A265-INDEX($A$2:$A$293,MATCH(J265,$D$2:$D$293,0)),""))</f>
        <v/>
      </c>
      <c r="L265" s="14">
        <f>IF(E265&lt;&gt;"Kleine Anfrage","",IFERROR(INDEX($D$2:$D$293,MATCH(D265,$J$2:$J$293,0)),"offen"))</f>
        <v/>
      </c>
      <c r="M265" s="14" t="inlineStr">
        <is>
          <t>Kriminalitätsfelder in Bezug auf Bahnhöfe und Züge im ersten Halbjahr 2022</t>
        </is>
      </c>
      <c r="N265" s="14" t="inlineStr">
        <is>
          <t>Bundesregierung</t>
        </is>
      </c>
      <c r="O265" s="16" t="inlineStr">
        <is>
          <t>PDF</t>
        </is>
      </c>
      <c r="P265" s="14" t="inlineStr">
        <is>
          <t>AfD</t>
        </is>
      </c>
      <c r="Q265" s="14" t="inlineStr"/>
      <c r="R265" s="14">
        <f>IF(COUNTIF(Abstimmungen!$B$5:$B$2000,D265)-COUNTIFS(Abstimmungen!$B$5:$B$2000,D265,Abstimmungen!$D$5:$D$2000,"*berweisung*")&gt;0,1,0)</f>
        <v/>
      </c>
    </row>
    <row r="266">
      <c r="A266" s="13" t="n">
        <v>44819</v>
      </c>
      <c r="B266" s="14">
        <f>IF(A266="","",YEAR(A266))</f>
        <v/>
      </c>
      <c r="C266" s="14">
        <f>IF(A266="","",YEAR(A266)&amp;"-Q"&amp;ROUNDUP(MONTH(A266)/3,0))</f>
        <v/>
      </c>
      <c r="D266" s="14" t="inlineStr">
        <is>
          <t>20/3424</t>
        </is>
      </c>
      <c r="E266" s="14" t="inlineStr">
        <is>
          <t>Kleine Anfrage</t>
        </is>
      </c>
      <c r="F266" s="14" t="inlineStr">
        <is>
          <t>AfD</t>
        </is>
      </c>
      <c r="G266" s="14" t="inlineStr">
        <is>
          <t>Opposition</t>
        </is>
      </c>
      <c r="H266" s="14" t="inlineStr">
        <is>
          <t>20</t>
        </is>
      </c>
      <c r="I266" s="14" t="inlineStr">
        <is>
          <t>Bahnhoefe; Kriminalitaet</t>
        </is>
      </c>
      <c r="J266" s="14" t="inlineStr"/>
      <c r="K266" s="15">
        <f>IF(OR(J266="",LEFT(E266,7)&lt;&gt;"Antwort"),"",IFERROR(A266-INDEX($A$2:$A$293,MATCH(J266,$D$2:$D$293,0)),""))</f>
        <v/>
      </c>
      <c r="L266" s="14">
        <f>IF(E266&lt;&gt;"Kleine Anfrage","",IFERROR(INDEX($D$2:$D$293,MATCH(D266,$J$2:$J$293,0)),"offen"))</f>
        <v/>
      </c>
      <c r="M266" s="14" t="inlineStr">
        <is>
          <t>Kriminalitätsfelder in Bezug auf Bahnhöfe in Baden-Württemberg im zweiten Halbjahr 2021 und ersten Halbjahr 2022</t>
        </is>
      </c>
      <c r="N266" s="14" t="inlineStr">
        <is>
          <t>Fraktion der AfD</t>
        </is>
      </c>
      <c r="O266" s="16" t="inlineStr">
        <is>
          <t>PDF</t>
        </is>
      </c>
      <c r="P266" s="14" t="inlineStr"/>
      <c r="Q266" s="14" t="inlineStr">
        <is>
          <t>Bahnhöfe / Kriminalitätsfelder</t>
        </is>
      </c>
      <c r="R266" s="14">
        <f>IF(COUNTIF(Abstimmungen!$B$5:$B$2000,D266)-COUNTIFS(Abstimmungen!$B$5:$B$2000,D266,Abstimmungen!$D$5:$D$2000,"*berweisung*")&gt;0,1,0)</f>
        <v/>
      </c>
    </row>
    <row r="267">
      <c r="A267" s="13" t="n">
        <v>44819</v>
      </c>
      <c r="B267" s="14">
        <f>IF(A267="","",YEAR(A267))</f>
        <v/>
      </c>
      <c r="C267" s="14">
        <f>IF(A267="","",YEAR(A267)&amp;"-Q"&amp;ROUNDUP(MONTH(A267)/3,0))</f>
        <v/>
      </c>
      <c r="D267" s="14" t="inlineStr">
        <is>
          <t>20/3423</t>
        </is>
      </c>
      <c r="E267" s="14" t="inlineStr">
        <is>
          <t>Kleine Anfrage</t>
        </is>
      </c>
      <c r="F267" s="14" t="inlineStr">
        <is>
          <t>AfD</t>
        </is>
      </c>
      <c r="G267" s="14" t="inlineStr">
        <is>
          <t>Opposition</t>
        </is>
      </c>
      <c r="H267" s="14" t="inlineStr">
        <is>
          <t>20</t>
        </is>
      </c>
      <c r="I267" s="14" t="inlineStr">
        <is>
          <t>Bahnhoefe; Kriminalitaet</t>
        </is>
      </c>
      <c r="J267" s="14" t="inlineStr"/>
      <c r="K267" s="15">
        <f>IF(OR(J267="",LEFT(E267,7)&lt;&gt;"Antwort"),"",IFERROR(A267-INDEX($A$2:$A$293,MATCH(J267,$D$2:$D$293,0)),""))</f>
        <v/>
      </c>
      <c r="L267" s="14">
        <f>IF(E267&lt;&gt;"Kleine Anfrage","",IFERROR(INDEX($D$2:$D$293,MATCH(D267,$J$2:$J$293,0)),"offen"))</f>
        <v/>
      </c>
      <c r="M267" s="14" t="inlineStr">
        <is>
          <t>Kriminalitätsfelder in Bezug auf Bahnhöfe und Züge im ersten Halbjahr 2022</t>
        </is>
      </c>
      <c r="N267" s="14" t="inlineStr">
        <is>
          <t>Fraktion der AfD</t>
        </is>
      </c>
      <c r="O267" s="16" t="inlineStr">
        <is>
          <t>PDF</t>
        </is>
      </c>
      <c r="P267" s="14" t="inlineStr"/>
      <c r="Q267" s="14" t="inlineStr">
        <is>
          <t>Bahnhöfe / Kriminalitätsfelder</t>
        </is>
      </c>
      <c r="R267" s="14">
        <f>IF(COUNTIF(Abstimmungen!$B$5:$B$2000,D267)-COUNTIFS(Abstimmungen!$B$5:$B$2000,D267,Abstimmungen!$D$5:$D$2000,"*berweisung*")&gt;0,1,0)</f>
        <v/>
      </c>
    </row>
    <row r="268">
      <c r="A268" s="13" t="n">
        <v>44806</v>
      </c>
      <c r="B268" s="14">
        <f>IF(A268="","",YEAR(A268))</f>
        <v/>
      </c>
      <c r="C268" s="14">
        <f>IF(A268="","",YEAR(A268)&amp;"-Q"&amp;ROUNDUP(MONTH(A268)/3,0))</f>
        <v/>
      </c>
      <c r="D268" s="14" t="inlineStr">
        <is>
          <t>20/3247</t>
        </is>
      </c>
      <c r="E268" s="14" t="inlineStr">
        <is>
          <t>Kleine Anfrage</t>
        </is>
      </c>
      <c r="F268" s="14" t="inlineStr">
        <is>
          <t>AfD</t>
        </is>
      </c>
      <c r="G268" s="14" t="inlineStr">
        <is>
          <t>Opposition</t>
        </is>
      </c>
      <c r="H268" s="14" t="inlineStr">
        <is>
          <t>20</t>
        </is>
      </c>
      <c r="I268" s="14" t="inlineStr">
        <is>
          <t>Sonstiges</t>
        </is>
      </c>
      <c r="J268" s="14" t="inlineStr"/>
      <c r="K268" s="15">
        <f>IF(OR(J268="",LEFT(E268,7)&lt;&gt;"Antwort"),"",IFERROR(A268-INDEX($A$2:$A$293,MATCH(J268,$D$2:$D$293,0)),""))</f>
        <v/>
      </c>
      <c r="L268" s="14">
        <f>IF(E268&lt;&gt;"Kleine Anfrage","",IFERROR(INDEX($D$2:$D$293,MATCH(D268,$J$2:$J$293,0)),"offen"))</f>
        <v/>
      </c>
      <c r="M268" s="14" t="inlineStr">
        <is>
          <t>Stromsparpläne der Deutschen Bahn AG</t>
        </is>
      </c>
      <c r="N268" s="14" t="inlineStr">
        <is>
          <t>Fraktion der AfD</t>
        </is>
      </c>
      <c r="O268" s="16" t="inlineStr">
        <is>
          <t>PDF</t>
        </is>
      </c>
      <c r="P268" s="14" t="inlineStr"/>
      <c r="Q268" s="14" t="inlineStr"/>
      <c r="R268" s="14">
        <f>IF(COUNTIF(Abstimmungen!$B$5:$B$2000,D268)-COUNTIFS(Abstimmungen!$B$5:$B$2000,D268,Abstimmungen!$D$5:$D$2000,"*berweisung*")&gt;0,1,0)</f>
        <v/>
      </c>
    </row>
    <row r="269">
      <c r="A269" s="13" t="n">
        <v>44804</v>
      </c>
      <c r="B269" s="14">
        <f>IF(A269="","",YEAR(A269))</f>
        <v/>
      </c>
      <c r="C269" s="14">
        <f>IF(A269="","",YEAR(A269)&amp;"-Q"&amp;ROUNDUP(MONTH(A269)/3,0))</f>
        <v/>
      </c>
      <c r="D269" s="14" t="inlineStr">
        <is>
          <t>20/3216</t>
        </is>
      </c>
      <c r="E269" s="14" t="inlineStr">
        <is>
          <t>Kleine Anfrage</t>
        </is>
      </c>
      <c r="F269" s="14" t="inlineStr">
        <is>
          <t>Linke</t>
        </is>
      </c>
      <c r="G269" s="14" t="inlineStr">
        <is>
          <t>Opposition</t>
        </is>
      </c>
      <c r="H269" s="14" t="inlineStr">
        <is>
          <t>20</t>
        </is>
      </c>
      <c r="I269" s="14" t="inlineStr">
        <is>
          <t>Bahnhoefe; Barrierefreiheit</t>
        </is>
      </c>
      <c r="J269" s="14" t="inlineStr"/>
      <c r="K269" s="15">
        <f>IF(OR(J269="",LEFT(E269,7)&lt;&gt;"Antwort"),"",IFERROR(A269-INDEX($A$2:$A$293,MATCH(J269,$D$2:$D$293,0)),""))</f>
        <v/>
      </c>
      <c r="L269" s="14">
        <f>IF(E269&lt;&gt;"Kleine Anfrage","",IFERROR(INDEX($D$2:$D$293,MATCH(D269,$J$2:$J$293,0)),"offen"))</f>
        <v/>
      </c>
      <c r="M269" s="14" t="inlineStr">
        <is>
          <t>Barrierefreiheit der Bahnhöfe, Haltepunkte und Züge in Deutschland</t>
        </is>
      </c>
      <c r="N269" s="14" t="inlineStr">
        <is>
          <t>Fraktion DIE LINKE</t>
        </is>
      </c>
      <c r="O269" s="16" t="inlineStr">
        <is>
          <t>PDF</t>
        </is>
      </c>
      <c r="P269" s="14" t="inlineStr"/>
      <c r="Q269" s="14" t="inlineStr"/>
      <c r="R269" s="14">
        <f>IF(COUNTIF(Abstimmungen!$B$5:$B$2000,D269)-COUNTIFS(Abstimmungen!$B$5:$B$2000,D269,Abstimmungen!$D$5:$D$2000,"*berweisung*")&gt;0,1,0)</f>
        <v/>
      </c>
    </row>
    <row r="270">
      <c r="A270" s="13" t="n">
        <v>44788</v>
      </c>
      <c r="B270" s="14">
        <f>IF(A270="","",YEAR(A270))</f>
        <v/>
      </c>
      <c r="C270" s="14">
        <f>IF(A270="","",YEAR(A270)&amp;"-Q"&amp;ROUNDUP(MONTH(A270)/3,0))</f>
        <v/>
      </c>
      <c r="D270" s="14" t="inlineStr">
        <is>
          <t>20/3117</t>
        </is>
      </c>
      <c r="E270" s="14" t="inlineStr">
        <is>
          <t>Antwort</t>
        </is>
      </c>
      <c r="F270" s="14" t="inlineStr">
        <is>
          <t>Bundesregierung</t>
        </is>
      </c>
      <c r="G270" s="14" t="inlineStr">
        <is>
          <t>Regierung</t>
        </is>
      </c>
      <c r="H270" s="14" t="inlineStr">
        <is>
          <t>20</t>
        </is>
      </c>
      <c r="I270" s="14" t="inlineStr">
        <is>
          <t>Bahnhoefe; Barrierefreiheit</t>
        </is>
      </c>
      <c r="J270" s="14" t="inlineStr">
        <is>
          <t>20/2705</t>
        </is>
      </c>
      <c r="K270" s="15">
        <f>IF(OR(J270="",LEFT(E270,7)&lt;&gt;"Antwort"),"",IFERROR(A270-INDEX($A$2:$A$293,MATCH(J270,$D$2:$D$293,0)),""))</f>
        <v/>
      </c>
      <c r="L270" s="14">
        <f>IF(E270&lt;&gt;"Kleine Anfrage","",IFERROR(INDEX($D$2:$D$293,MATCH(D270,$J$2:$J$293,0)),"offen"))</f>
        <v/>
      </c>
      <c r="M270" s="14" t="inlineStr">
        <is>
          <t>Barrierefreiheit von Bahnhöfen und Verkehrsstationen in Thüringen</t>
        </is>
      </c>
      <c r="N270" s="14" t="inlineStr">
        <is>
          <t>Bundesregierung</t>
        </is>
      </c>
      <c r="O270" s="16" t="inlineStr">
        <is>
          <t>PDF</t>
        </is>
      </c>
      <c r="P270" s="14" t="inlineStr">
        <is>
          <t>AfD</t>
        </is>
      </c>
      <c r="Q270" s="14" t="inlineStr"/>
      <c r="R270" s="14">
        <f>IF(COUNTIF(Abstimmungen!$B$5:$B$2000,D270)-COUNTIFS(Abstimmungen!$B$5:$B$2000,D270,Abstimmungen!$D$5:$D$2000,"*berweisung*")&gt;0,1,0)</f>
        <v/>
      </c>
    </row>
    <row r="271">
      <c r="A271" s="13" t="n">
        <v>44782</v>
      </c>
      <c r="B271" s="14">
        <f>IF(A271="","",YEAR(A271))</f>
        <v/>
      </c>
      <c r="C271" s="14">
        <f>IF(A271="","",YEAR(A271)&amp;"-Q"&amp;ROUNDUP(MONTH(A271)/3,0))</f>
        <v/>
      </c>
      <c r="D271" s="14" t="inlineStr">
        <is>
          <t>20/3084</t>
        </is>
      </c>
      <c r="E271" s="14" t="inlineStr">
        <is>
          <t>Antwort</t>
        </is>
      </c>
      <c r="F271" s="14" t="inlineStr">
        <is>
          <t>Bundesregierung</t>
        </is>
      </c>
      <c r="G271" s="14" t="inlineStr">
        <is>
          <t>Regierung</t>
        </is>
      </c>
      <c r="H271" s="14" t="inlineStr">
        <is>
          <t>20</t>
        </is>
      </c>
      <c r="I271" s="14" t="inlineStr">
        <is>
          <t>Finanzierung; Konzernstruktur/DB AG</t>
        </is>
      </c>
      <c r="J271" s="14" t="inlineStr">
        <is>
          <t>20/2889</t>
        </is>
      </c>
      <c r="K271" s="15">
        <f>IF(OR(J271="",LEFT(E271,7)&lt;&gt;"Antwort"),"",IFERROR(A271-INDEX($A$2:$A$293,MATCH(J271,$D$2:$D$293,0)),""))</f>
        <v/>
      </c>
      <c r="L271" s="14">
        <f>IF(E271&lt;&gt;"Kleine Anfrage","",IFERROR(INDEX($D$2:$D$293,MATCH(D271,$J$2:$J$293,0)),"offen"))</f>
        <v/>
      </c>
      <c r="M271" s="14" t="inlineStr">
        <is>
          <t>Herkunft der Mittel für die Finanzierung des Erwerbs eines US-amerikanischen</t>
        </is>
      </c>
      <c r="N271" s="14" t="inlineStr">
        <is>
          <t>Bundesregierung</t>
        </is>
      </c>
      <c r="O271" s="16" t="inlineStr">
        <is>
          <t>PDF</t>
        </is>
      </c>
      <c r="P271" s="14" t="inlineStr">
        <is>
          <t>AfD</t>
        </is>
      </c>
      <c r="Q271" s="14" t="inlineStr"/>
      <c r="R271" s="14">
        <f>IF(COUNTIF(Abstimmungen!$B$5:$B$2000,D271)-COUNTIFS(Abstimmungen!$B$5:$B$2000,D271,Abstimmungen!$D$5:$D$2000,"*berweisung*")&gt;0,1,0)</f>
        <v/>
      </c>
    </row>
    <row r="272">
      <c r="A272" s="13" t="n">
        <v>44768</v>
      </c>
      <c r="B272" s="14">
        <f>IF(A272="","",YEAR(A272))</f>
        <v/>
      </c>
      <c r="C272" s="14">
        <f>IF(A272="","",YEAR(A272)&amp;"-Q"&amp;ROUNDUP(MONTH(A272)/3,0))</f>
        <v/>
      </c>
      <c r="D272" s="14" t="inlineStr">
        <is>
          <t>20/2889</t>
        </is>
      </c>
      <c r="E272" s="14" t="inlineStr">
        <is>
          <t>Kleine Anfrage</t>
        </is>
      </c>
      <c r="F272" s="14" t="inlineStr">
        <is>
          <t>AfD</t>
        </is>
      </c>
      <c r="G272" s="14" t="inlineStr">
        <is>
          <t>Opposition</t>
        </is>
      </c>
      <c r="H272" s="14" t="inlineStr">
        <is>
          <t>20</t>
        </is>
      </c>
      <c r="I272" s="14" t="inlineStr">
        <is>
          <t>Finanzierung; Konzernstruktur/DB AG</t>
        </is>
      </c>
      <c r="J272" s="14" t="inlineStr"/>
      <c r="K272" s="15">
        <f>IF(OR(J272="",LEFT(E272,7)&lt;&gt;"Antwort"),"",IFERROR(A272-INDEX($A$2:$A$293,MATCH(J272,$D$2:$D$293,0)),""))</f>
        <v/>
      </c>
      <c r="L272" s="14">
        <f>IF(E272&lt;&gt;"Kleine Anfrage","",IFERROR(INDEX($D$2:$D$293,MATCH(D272,$J$2:$J$293,0)),"offen"))</f>
        <v/>
      </c>
      <c r="M272" s="14" t="inlineStr">
        <is>
          <t>Herkunft der Mittel für die Finanzierung des Erwerbs eines US-amerikanischen LKW-Logistikers durch die Deutsche Bahn AG</t>
        </is>
      </c>
      <c r="N272" s="14" t="inlineStr">
        <is>
          <t>Fraktion der AfD</t>
        </is>
      </c>
      <c r="O272" s="16" t="inlineStr">
        <is>
          <t>PDF</t>
        </is>
      </c>
      <c r="P272" s="14" t="inlineStr"/>
      <c r="Q272" s="14" t="inlineStr"/>
      <c r="R272" s="14">
        <f>IF(COUNTIF(Abstimmungen!$B$5:$B$2000,D272)-COUNTIFS(Abstimmungen!$B$5:$B$2000,D272,Abstimmungen!$D$5:$D$2000,"*berweisung*")&gt;0,1,0)</f>
        <v/>
      </c>
    </row>
    <row r="273">
      <c r="A273" s="13" t="n">
        <v>44764</v>
      </c>
      <c r="B273" s="14">
        <f>IF(A273="","",YEAR(A273))</f>
        <v/>
      </c>
      <c r="C273" s="14">
        <f>IF(A273="","",YEAR(A273)&amp;"-Q"&amp;ROUNDUP(MONTH(A273)/3,0))</f>
        <v/>
      </c>
      <c r="D273" s="14" t="inlineStr">
        <is>
          <t>20/2872</t>
        </is>
      </c>
      <c r="E273" s="14" t="inlineStr">
        <is>
          <t>Antwort</t>
        </is>
      </c>
      <c r="F273" s="14" t="inlineStr">
        <is>
          <t>Bundesregierung</t>
        </is>
      </c>
      <c r="G273" s="14" t="inlineStr">
        <is>
          <t>Regierung</t>
        </is>
      </c>
      <c r="H273" s="14" t="inlineStr">
        <is>
          <t>20</t>
        </is>
      </c>
      <c r="I273" s="14" t="inlineStr">
        <is>
          <t>Konzernstruktur/DB AG</t>
        </is>
      </c>
      <c r="J273" s="14" t="inlineStr">
        <is>
          <t>20/2197</t>
        </is>
      </c>
      <c r="K273" s="15">
        <f>IF(OR(J273="",LEFT(E273,7)&lt;&gt;"Antwort"),"",IFERROR(A273-INDEX($A$2:$A$293,MATCH(J273,$D$2:$D$293,0)),""))</f>
        <v/>
      </c>
      <c r="L273" s="14">
        <f>IF(E273&lt;&gt;"Kleine Anfrage","",IFERROR(INDEX($D$2:$D$293,MATCH(D273,$J$2:$J$293,0)),"offen"))</f>
        <v/>
      </c>
      <c r="M273" s="14" t="inlineStr">
        <is>
          <t>Jahresvergütung von Aufsichtsräten und Vorstandsmitgliedern der Deutsche Bahn Aktiengesellschaft im Jahr 2021 und Erhöhung von Vorstandsfixgehältern in Höhe von 10 Prozent</t>
        </is>
      </c>
      <c r="N273" s="14" t="inlineStr">
        <is>
          <t>Bundesregierung</t>
        </is>
      </c>
      <c r="O273" s="16" t="inlineStr">
        <is>
          <t>PDF</t>
        </is>
      </c>
      <c r="P273" s="14" t="inlineStr">
        <is>
          <t>AfD</t>
        </is>
      </c>
      <c r="Q273" s="14" t="inlineStr"/>
      <c r="R273" s="14">
        <f>IF(COUNTIF(Abstimmungen!$B$5:$B$2000,D273)-COUNTIFS(Abstimmungen!$B$5:$B$2000,D273,Abstimmungen!$D$5:$D$2000,"*berweisung*")&gt;0,1,0)</f>
        <v/>
      </c>
    </row>
    <row r="274">
      <c r="A274" s="13" t="n">
        <v>44762</v>
      </c>
      <c r="B274" s="14">
        <f>IF(A274="","",YEAR(A274))</f>
        <v/>
      </c>
      <c r="C274" s="14">
        <f>IF(A274="","",YEAR(A274)&amp;"-Q"&amp;ROUNDUP(MONTH(A274)/3,0))</f>
        <v/>
      </c>
      <c r="D274" s="14" t="inlineStr">
        <is>
          <t>20/2850</t>
        </is>
      </c>
      <c r="E274" s="14" t="inlineStr">
        <is>
          <t>Antwort</t>
        </is>
      </c>
      <c r="F274" s="14" t="inlineStr">
        <is>
          <t>Bundesregierung</t>
        </is>
      </c>
      <c r="G274" s="14" t="inlineStr">
        <is>
          <t>Regierung</t>
        </is>
      </c>
      <c r="H274" s="14" t="inlineStr">
        <is>
          <t>20</t>
        </is>
      </c>
      <c r="I274" s="14" t="inlineStr">
        <is>
          <t>Nahverkehr/SPNV</t>
        </is>
      </c>
      <c r="J274" s="14" t="inlineStr">
        <is>
          <t>20/2169</t>
        </is>
      </c>
      <c r="K274" s="15">
        <f>IF(OR(J274="",LEFT(E274,7)&lt;&gt;"Antwort"),"",IFERROR(A274-INDEX($A$2:$A$293,MATCH(J274,$D$2:$D$293,0)),""))</f>
        <v/>
      </c>
      <c r="L274" s="14">
        <f>IF(E274&lt;&gt;"Kleine Anfrage","",IFERROR(INDEX($D$2:$D$293,MATCH(D274,$J$2:$J$293,0)),"offen"))</f>
        <v/>
      </c>
      <c r="M274" s="14" t="inlineStr">
        <is>
          <t>Vorkehrungen von Bundesregierung und Deutscher Bahn AG für die Umsetzung</t>
        </is>
      </c>
      <c r="N274" s="14" t="inlineStr">
        <is>
          <t>Bundesregierung</t>
        </is>
      </c>
      <c r="O274" s="16" t="inlineStr">
        <is>
          <t>PDF</t>
        </is>
      </c>
      <c r="P274" s="14" t="inlineStr">
        <is>
          <t>CDU/CSU</t>
        </is>
      </c>
      <c r="Q274" s="14" t="inlineStr"/>
      <c r="R274" s="14">
        <f>IF(COUNTIF(Abstimmungen!$B$5:$B$2000,D274)-COUNTIFS(Abstimmungen!$B$5:$B$2000,D274,Abstimmungen!$D$5:$D$2000,"*berweisung*")&gt;0,1,0)</f>
        <v/>
      </c>
    </row>
    <row r="275">
      <c r="A275" s="13" t="n">
        <v>44750</v>
      </c>
      <c r="B275" s="14">
        <f>IF(A275="","",YEAR(A275))</f>
        <v/>
      </c>
      <c r="C275" s="14">
        <f>IF(A275="","",YEAR(A275)&amp;"-Q"&amp;ROUNDUP(MONTH(A275)/3,0))</f>
        <v/>
      </c>
      <c r="D275" s="14" t="inlineStr">
        <is>
          <t>20/2705</t>
        </is>
      </c>
      <c r="E275" s="14" t="inlineStr">
        <is>
          <t>Kleine Anfrage</t>
        </is>
      </c>
      <c r="F275" s="14" t="inlineStr">
        <is>
          <t>AfD</t>
        </is>
      </c>
      <c r="G275" s="14" t="inlineStr">
        <is>
          <t>Opposition</t>
        </is>
      </c>
      <c r="H275" s="14" t="inlineStr">
        <is>
          <t>20</t>
        </is>
      </c>
      <c r="I275" s="14" t="inlineStr">
        <is>
          <t>Bahnhoefe; Barrierefreiheit</t>
        </is>
      </c>
      <c r="J275" s="14" t="inlineStr"/>
      <c r="K275" s="15">
        <f>IF(OR(J275="",LEFT(E275,7)&lt;&gt;"Antwort"),"",IFERROR(A275-INDEX($A$2:$A$293,MATCH(J275,$D$2:$D$293,0)),""))</f>
        <v/>
      </c>
      <c r="L275" s="14">
        <f>IF(E275&lt;&gt;"Kleine Anfrage","",IFERROR(INDEX($D$2:$D$293,MATCH(D275,$J$2:$J$293,0)),"offen"))</f>
        <v/>
      </c>
      <c r="M275" s="14" t="inlineStr">
        <is>
          <t>Barrierefreiheit von Bahnhöfen und Verkehrsstationen in Thüringen</t>
        </is>
      </c>
      <c r="N275" s="14" t="inlineStr">
        <is>
          <t>Fraktion der AfD</t>
        </is>
      </c>
      <c r="O275" s="16" t="inlineStr">
        <is>
          <t>PDF</t>
        </is>
      </c>
      <c r="P275" s="14" t="inlineStr"/>
      <c r="Q275" s="14" t="inlineStr"/>
      <c r="R275" s="14">
        <f>IF(COUNTIF(Abstimmungen!$B$5:$B$2000,D275)-COUNTIFS(Abstimmungen!$B$5:$B$2000,D275,Abstimmungen!$D$5:$D$2000,"*berweisung*")&gt;0,1,0)</f>
        <v/>
      </c>
    </row>
    <row r="276">
      <c r="A276" s="13" t="n">
        <v>44721</v>
      </c>
      <c r="B276" s="14">
        <f>IF(A276="","",YEAR(A276))</f>
        <v/>
      </c>
      <c r="C276" s="14">
        <f>IF(A276="","",YEAR(A276)&amp;"-Q"&amp;ROUNDUP(MONTH(A276)/3,0))</f>
        <v/>
      </c>
      <c r="D276" s="14" t="inlineStr">
        <is>
          <t>20/2197</t>
        </is>
      </c>
      <c r="E276" s="14" t="inlineStr">
        <is>
          <t>Kleine Anfrage</t>
        </is>
      </c>
      <c r="F276" s="14" t="inlineStr">
        <is>
          <t>AfD</t>
        </is>
      </c>
      <c r="G276" s="14" t="inlineStr">
        <is>
          <t>Opposition</t>
        </is>
      </c>
      <c r="H276" s="14" t="inlineStr">
        <is>
          <t>20</t>
        </is>
      </c>
      <c r="I276" s="14" t="inlineStr">
        <is>
          <t>Konzernstruktur/DB AG</t>
        </is>
      </c>
      <c r="J276" s="14" t="inlineStr"/>
      <c r="K276" s="15">
        <f>IF(OR(J276="",LEFT(E276,7)&lt;&gt;"Antwort"),"",IFERROR(A276-INDEX($A$2:$A$293,MATCH(J276,$D$2:$D$293,0)),""))</f>
        <v/>
      </c>
      <c r="L276" s="14">
        <f>IF(E276&lt;&gt;"Kleine Anfrage","",IFERROR(INDEX($D$2:$D$293,MATCH(D276,$J$2:$J$293,0)),"offen"))</f>
        <v/>
      </c>
      <c r="M276" s="14" t="inlineStr">
        <is>
          <t>Jahresvergütung von Aufsichtsräten und Vorstandsmitgliedern der Deutsche Bahn Aktiengesellschaft im Jahr 2021 und Erhöhung von Vorstandsfixgehältern in Höhe von 10 Prozent</t>
        </is>
      </c>
      <c r="N276" s="14" t="inlineStr">
        <is>
          <t>Fraktion der AfD</t>
        </is>
      </c>
      <c r="O276" s="16" t="inlineStr">
        <is>
          <t>PDF</t>
        </is>
      </c>
      <c r="P276" s="14" t="inlineStr"/>
      <c r="Q276" s="14" t="inlineStr"/>
      <c r="R276" s="14">
        <f>IF(COUNTIF(Abstimmungen!$B$5:$B$2000,D276)-COUNTIFS(Abstimmungen!$B$5:$B$2000,D276,Abstimmungen!$D$5:$D$2000,"*berweisung*")&gt;0,1,0)</f>
        <v/>
      </c>
    </row>
    <row r="277">
      <c r="A277" s="13" t="n">
        <v>44721</v>
      </c>
      <c r="B277" s="14">
        <f>IF(A277="","",YEAR(A277))</f>
        <v/>
      </c>
      <c r="C277" s="14">
        <f>IF(A277="","",YEAR(A277)&amp;"-Q"&amp;ROUNDUP(MONTH(A277)/3,0))</f>
        <v/>
      </c>
      <c r="D277" s="14" t="inlineStr">
        <is>
          <t>20/2169</t>
        </is>
      </c>
      <c r="E277" s="14" t="inlineStr">
        <is>
          <t>Kleine Anfrage</t>
        </is>
      </c>
      <c r="F277" s="14" t="inlineStr">
        <is>
          <t>CDU/CSU</t>
        </is>
      </c>
      <c r="G277" s="14" t="inlineStr">
        <is>
          <t>Opposition</t>
        </is>
      </c>
      <c r="H277" s="14" t="inlineStr">
        <is>
          <t>20</t>
        </is>
      </c>
      <c r="I277" s="14" t="inlineStr">
        <is>
          <t>Nahverkehr/SPNV</t>
        </is>
      </c>
      <c r="J277" s="14" t="inlineStr"/>
      <c r="K277" s="15">
        <f>IF(OR(J277="",LEFT(E277,7)&lt;&gt;"Antwort"),"",IFERROR(A277-INDEX($A$2:$A$293,MATCH(J277,$D$2:$D$293,0)),""))</f>
        <v/>
      </c>
      <c r="L277" s="14">
        <f>IF(E277&lt;&gt;"Kleine Anfrage","",IFERROR(INDEX($D$2:$D$293,MATCH(D277,$J$2:$J$293,0)),"offen"))</f>
        <v/>
      </c>
      <c r="M277" s="14" t="inlineStr">
        <is>
          <t>Vorkehrungen von Bundesregierung und Deutscher Bahn AG für die Umsetzung des 9-Euro-Tickets im öffentlichen Nahverkehr</t>
        </is>
      </c>
      <c r="N277" s="14" t="inlineStr">
        <is>
          <t>Fraktion der CDU/CSU</t>
        </is>
      </c>
      <c r="O277" s="16" t="inlineStr">
        <is>
          <t>PDF</t>
        </is>
      </c>
      <c r="P277" s="14" t="inlineStr"/>
      <c r="Q277" s="14" t="inlineStr"/>
      <c r="R277" s="14">
        <f>IF(COUNTIF(Abstimmungen!$B$5:$B$2000,D277)-COUNTIFS(Abstimmungen!$B$5:$B$2000,D277,Abstimmungen!$D$5:$D$2000,"*berweisung*")&gt;0,1,0)</f>
        <v/>
      </c>
    </row>
    <row r="278">
      <c r="A278" s="13" t="n">
        <v>44720</v>
      </c>
      <c r="B278" s="14">
        <f>IF(A278="","",YEAR(A278))</f>
        <v/>
      </c>
      <c r="C278" s="14">
        <f>IF(A278="","",YEAR(A278)&amp;"-Q"&amp;ROUNDUP(MONTH(A278)/3,0))</f>
        <v/>
      </c>
      <c r="D278" s="14" t="inlineStr">
        <is>
          <t>20/2234</t>
        </is>
      </c>
      <c r="E278" s="14" t="inlineStr">
        <is>
          <t>Antwort</t>
        </is>
      </c>
      <c r="F278" s="14" t="inlineStr">
        <is>
          <t>Bundesregierung</t>
        </is>
      </c>
      <c r="G278" s="14" t="inlineStr">
        <is>
          <t>Regierung</t>
        </is>
      </c>
      <c r="H278" s="14" t="inlineStr">
        <is>
          <t>20</t>
        </is>
      </c>
      <c r="I278" s="14" t="inlineStr">
        <is>
          <t>Bahnhoefe; Barrierefreiheit</t>
        </is>
      </c>
      <c r="J278" s="14" t="inlineStr">
        <is>
          <t>20/1810</t>
        </is>
      </c>
      <c r="K278" s="15">
        <f>IF(OR(J278="",LEFT(E278,7)&lt;&gt;"Antwort"),"",IFERROR(A278-INDEX($A$2:$A$293,MATCH(J278,$D$2:$D$293,0)),""))</f>
        <v/>
      </c>
      <c r="L278" s="14">
        <f>IF(E278&lt;&gt;"Kleine Anfrage","",IFERROR(INDEX($D$2:$D$293,MATCH(D278,$J$2:$J$293,0)),"offen"))</f>
        <v/>
      </c>
      <c r="M278" s="14" t="inlineStr">
        <is>
          <t>Barrierefreiheit der Bahnhöfe und Haltepunkte in Brandenburg</t>
        </is>
      </c>
      <c r="N278" s="14" t="inlineStr">
        <is>
          <t>Bundesregierung</t>
        </is>
      </c>
      <c r="O278" s="16" t="inlineStr">
        <is>
          <t>PDF</t>
        </is>
      </c>
      <c r="P278" s="14" t="inlineStr">
        <is>
          <t>Linke</t>
        </is>
      </c>
      <c r="Q278" s="14" t="inlineStr"/>
      <c r="R278" s="14">
        <f>IF(COUNTIF(Abstimmungen!$B$5:$B$2000,D278)-COUNTIFS(Abstimmungen!$B$5:$B$2000,D278,Abstimmungen!$D$5:$D$2000,"*berweisung*")&gt;0,1,0)</f>
        <v/>
      </c>
    </row>
    <row r="279">
      <c r="A279" s="13" t="n">
        <v>44698</v>
      </c>
      <c r="B279" s="14">
        <f>IF(A279="","",YEAR(A279))</f>
        <v/>
      </c>
      <c r="C279" s="14">
        <f>IF(A279="","",YEAR(A279)&amp;"-Q"&amp;ROUNDUP(MONTH(A279)/3,0))</f>
        <v/>
      </c>
      <c r="D279" s="14" t="inlineStr">
        <is>
          <t>20/1925</t>
        </is>
      </c>
      <c r="E279" s="14" t="inlineStr">
        <is>
          <t>Antwort</t>
        </is>
      </c>
      <c r="F279" s="14" t="inlineStr">
        <is>
          <t>Bundesregierung</t>
        </is>
      </c>
      <c r="G279" s="14" t="inlineStr">
        <is>
          <t>Regierung</t>
        </is>
      </c>
      <c r="H279" s="14" t="inlineStr">
        <is>
          <t>20</t>
        </is>
      </c>
      <c r="I279" s="14" t="inlineStr">
        <is>
          <t>Bahnhoefe; Kriminalitaet</t>
        </is>
      </c>
      <c r="J279" s="14" t="inlineStr">
        <is>
          <t>20/1691</t>
        </is>
      </c>
      <c r="K279" s="15">
        <f>IF(OR(J279="",LEFT(E279,7)&lt;&gt;"Antwort"),"",IFERROR(A279-INDEX($A$2:$A$293,MATCH(J279,$D$2:$D$293,0)),""))</f>
        <v/>
      </c>
      <c r="L279" s="14">
        <f>IF(E279&lt;&gt;"Kleine Anfrage","",IFERROR(INDEX($D$2:$D$293,MATCH(D279,$J$2:$J$293,0)),"offen"))</f>
        <v/>
      </c>
      <c r="M279" s="14" t="inlineStr">
        <is>
          <t>Straftaten an Thüringer Bahnhöfen und Flughäfen in dem Jahr 2021</t>
        </is>
      </c>
      <c r="N279" s="14" t="inlineStr">
        <is>
          <t>Bundesregierung</t>
        </is>
      </c>
      <c r="O279" s="16" t="inlineStr">
        <is>
          <t>PDF</t>
        </is>
      </c>
      <c r="P279" s="14" t="inlineStr">
        <is>
          <t>AfD</t>
        </is>
      </c>
      <c r="Q279" s="14" t="inlineStr"/>
      <c r="R279" s="14">
        <f>IF(COUNTIF(Abstimmungen!$B$5:$B$2000,D279)-COUNTIFS(Abstimmungen!$B$5:$B$2000,D279,Abstimmungen!$D$5:$D$2000,"*berweisung*")&gt;0,1,0)</f>
        <v/>
      </c>
    </row>
    <row r="280">
      <c r="A280" s="13" t="n">
        <v>44693</v>
      </c>
      <c r="B280" s="14">
        <f>IF(A280="","",YEAR(A280))</f>
        <v/>
      </c>
      <c r="C280" s="14">
        <f>IF(A280="","",YEAR(A280)&amp;"-Q"&amp;ROUNDUP(MONTH(A280)/3,0))</f>
        <v/>
      </c>
      <c r="D280" s="14" t="inlineStr">
        <is>
          <t>20/1810</t>
        </is>
      </c>
      <c r="E280" s="14" t="inlineStr">
        <is>
          <t>Kleine Anfrage</t>
        </is>
      </c>
      <c r="F280" s="14" t="inlineStr">
        <is>
          <t>Linke</t>
        </is>
      </c>
      <c r="G280" s="14" t="inlineStr">
        <is>
          <t>Opposition</t>
        </is>
      </c>
      <c r="H280" s="14" t="inlineStr">
        <is>
          <t>20</t>
        </is>
      </c>
      <c r="I280" s="14" t="inlineStr">
        <is>
          <t>Bahnhoefe; Barrierefreiheit</t>
        </is>
      </c>
      <c r="J280" s="14" t="inlineStr"/>
      <c r="K280" s="15">
        <f>IF(OR(J280="",LEFT(E280,7)&lt;&gt;"Antwort"),"",IFERROR(A280-INDEX($A$2:$A$293,MATCH(J280,$D$2:$D$293,0)),""))</f>
        <v/>
      </c>
      <c r="L280" s="14">
        <f>IF(E280&lt;&gt;"Kleine Anfrage","",IFERROR(INDEX($D$2:$D$293,MATCH(D280,$J$2:$J$293,0)),"offen"))</f>
        <v/>
      </c>
      <c r="M280" s="14" t="inlineStr">
        <is>
          <t>Barrierefreiheit der Bahnhöfe und Haltepunkte in Brandenburg</t>
        </is>
      </c>
      <c r="N280" s="14" t="inlineStr">
        <is>
          <t>Fraktion DIE LINKE</t>
        </is>
      </c>
      <c r="O280" s="16" t="inlineStr">
        <is>
          <t>PDF</t>
        </is>
      </c>
      <c r="P280" s="14" t="inlineStr"/>
      <c r="Q280" s="14" t="inlineStr"/>
      <c r="R280" s="14">
        <f>IF(COUNTIF(Abstimmungen!$B$5:$B$2000,D280)-COUNTIFS(Abstimmungen!$B$5:$B$2000,D280,Abstimmungen!$D$5:$D$2000,"*berweisung*")&gt;0,1,0)</f>
        <v/>
      </c>
    </row>
    <row r="281">
      <c r="A281" s="13" t="n">
        <v>44687</v>
      </c>
      <c r="B281" s="14">
        <f>IF(A281="","",YEAR(A281))</f>
        <v/>
      </c>
      <c r="C281" s="14">
        <f>IF(A281="","",YEAR(A281)&amp;"-Q"&amp;ROUNDUP(MONTH(A281)/3,0))</f>
        <v/>
      </c>
      <c r="D281" s="14" t="inlineStr">
        <is>
          <t>20/1691</t>
        </is>
      </c>
      <c r="E281" s="14" t="inlineStr">
        <is>
          <t>Kleine Anfrage</t>
        </is>
      </c>
      <c r="F281" s="14" t="inlineStr">
        <is>
          <t>AfD</t>
        </is>
      </c>
      <c r="G281" s="14" t="inlineStr">
        <is>
          <t>Opposition</t>
        </is>
      </c>
      <c r="H281" s="14" t="inlineStr">
        <is>
          <t>20</t>
        </is>
      </c>
      <c r="I281" s="14" t="inlineStr">
        <is>
          <t>Bahnhoefe; Kriminalitaet</t>
        </is>
      </c>
      <c r="J281" s="14" t="inlineStr"/>
      <c r="K281" s="15">
        <f>IF(OR(J281="",LEFT(E281,7)&lt;&gt;"Antwort"),"",IFERROR(A281-INDEX($A$2:$A$293,MATCH(J281,$D$2:$D$293,0)),""))</f>
        <v/>
      </c>
      <c r="L281" s="14">
        <f>IF(E281&lt;&gt;"Kleine Anfrage","",IFERROR(INDEX($D$2:$D$293,MATCH(D281,$J$2:$J$293,0)),"offen"))</f>
        <v/>
      </c>
      <c r="M281" s="14" t="inlineStr">
        <is>
          <t>Straftaten an Thüringer Bahnhöfen und Flughäfen in dem Jahr 2021</t>
        </is>
      </c>
      <c r="N281" s="14" t="inlineStr">
        <is>
          <t>Fraktion der AfD</t>
        </is>
      </c>
      <c r="O281" s="16" t="inlineStr">
        <is>
          <t>PDF</t>
        </is>
      </c>
      <c r="P281" s="14" t="inlineStr"/>
      <c r="Q281" s="14" t="inlineStr">
        <is>
          <t>Bahnhöfen / Straftaten</t>
        </is>
      </c>
      <c r="R281" s="14">
        <f>IF(COUNTIF(Abstimmungen!$B$5:$B$2000,D281)-COUNTIFS(Abstimmungen!$B$5:$B$2000,D281,Abstimmungen!$D$5:$D$2000,"*berweisung*")&gt;0,1,0)</f>
        <v/>
      </c>
    </row>
    <row r="282">
      <c r="A282" s="13" t="n">
        <v>44677</v>
      </c>
      <c r="B282" s="14">
        <f>IF(A282="","",YEAR(A282))</f>
        <v/>
      </c>
      <c r="C282" s="14">
        <f>IF(A282="","",YEAR(A282)&amp;"-Q"&amp;ROUNDUP(MONTH(A282)/3,0))</f>
        <v/>
      </c>
      <c r="D282" s="14" t="inlineStr">
        <is>
          <t>20/1562</t>
        </is>
      </c>
      <c r="E282" s="14" t="inlineStr">
        <is>
          <t>Antwort</t>
        </is>
      </c>
      <c r="F282" s="14" t="inlineStr">
        <is>
          <t>Bundesregierung</t>
        </is>
      </c>
      <c r="G282" s="14" t="inlineStr">
        <is>
          <t>Regierung</t>
        </is>
      </c>
      <c r="H282" s="14" t="inlineStr">
        <is>
          <t>20</t>
        </is>
      </c>
      <c r="I282" s="14" t="inlineStr">
        <is>
          <t>Bahnhoefe</t>
        </is>
      </c>
      <c r="J282" s="14" t="inlineStr">
        <is>
          <t>20/1259</t>
        </is>
      </c>
      <c r="K282" s="15">
        <f>IF(OR(J282="",LEFT(E282,7)&lt;&gt;"Antwort"),"",IFERROR(A282-INDEX($A$2:$A$293,MATCH(J282,$D$2:$D$293,0)),""))</f>
        <v/>
      </c>
      <c r="L282" s="14">
        <f>IF(E282&lt;&gt;"Kleine Anfrage","",IFERROR(INDEX($D$2:$D$293,MATCH(D282,$J$2:$J$293,0)),"offen"))</f>
        <v/>
      </c>
      <c r="M282" s="14" t="inlineStr">
        <is>
          <t>Bauliche Situation und Entwicklung an den Bahnhöfen in Rheinland-Pfalz</t>
        </is>
      </c>
      <c r="N282" s="14" t="inlineStr">
        <is>
          <t>Bundesregierung</t>
        </is>
      </c>
      <c r="O282" s="16" t="inlineStr">
        <is>
          <t>PDF</t>
        </is>
      </c>
      <c r="P282" s="14" t="inlineStr">
        <is>
          <t>AfD</t>
        </is>
      </c>
      <c r="Q282" s="14" t="inlineStr"/>
      <c r="R282" s="14">
        <f>IF(COUNTIF(Abstimmungen!$B$5:$B$2000,D282)-COUNTIFS(Abstimmungen!$B$5:$B$2000,D282,Abstimmungen!$D$5:$D$2000,"*berweisung*")&gt;0,1,0)</f>
        <v/>
      </c>
    </row>
    <row r="283">
      <c r="A283" s="13" t="n">
        <v>44651</v>
      </c>
      <c r="B283" s="14">
        <f>IF(A283="","",YEAR(A283))</f>
        <v/>
      </c>
      <c r="C283" s="14">
        <f>IF(A283="","",YEAR(A283)&amp;"-Q"&amp;ROUNDUP(MONTH(A283)/3,0))</f>
        <v/>
      </c>
      <c r="D283" s="14" t="inlineStr">
        <is>
          <t>20/1259</t>
        </is>
      </c>
      <c r="E283" s="14" t="inlineStr">
        <is>
          <t>Kleine Anfrage</t>
        </is>
      </c>
      <c r="F283" s="14" t="inlineStr">
        <is>
          <t>AfD</t>
        </is>
      </c>
      <c r="G283" s="14" t="inlineStr">
        <is>
          <t>Opposition</t>
        </is>
      </c>
      <c r="H283" s="14" t="inlineStr">
        <is>
          <t>20</t>
        </is>
      </c>
      <c r="I283" s="14" t="inlineStr">
        <is>
          <t>Bahnhoefe</t>
        </is>
      </c>
      <c r="J283" s="14" t="inlineStr"/>
      <c r="K283" s="15">
        <f>IF(OR(J283="",LEFT(E283,7)&lt;&gt;"Antwort"),"",IFERROR(A283-INDEX($A$2:$A$293,MATCH(J283,$D$2:$D$293,0)),""))</f>
        <v/>
      </c>
      <c r="L283" s="14">
        <f>IF(E283&lt;&gt;"Kleine Anfrage","",IFERROR(INDEX($D$2:$D$293,MATCH(D283,$J$2:$J$293,0)),"offen"))</f>
        <v/>
      </c>
      <c r="M283" s="14" t="inlineStr">
        <is>
          <t>Bauliche Situation und Entwicklung an den Bahnhöfen in Rheinland-Pfalz</t>
        </is>
      </c>
      <c r="N283" s="14" t="inlineStr">
        <is>
          <t>Fraktion der AfD</t>
        </is>
      </c>
      <c r="O283" s="16" t="inlineStr">
        <is>
          <t>PDF</t>
        </is>
      </c>
      <c r="P283" s="14" t="inlineStr"/>
      <c r="Q283" s="14" t="inlineStr"/>
      <c r="R283" s="14">
        <f>IF(COUNTIF(Abstimmungen!$B$5:$B$2000,D283)-COUNTIFS(Abstimmungen!$B$5:$B$2000,D283,Abstimmungen!$D$5:$D$2000,"*berweisung*")&gt;0,1,0)</f>
        <v/>
      </c>
    </row>
    <row r="284">
      <c r="A284" s="13" t="n">
        <v>44645</v>
      </c>
      <c r="B284" s="14">
        <f>IF(A284="","",YEAR(A284))</f>
        <v/>
      </c>
      <c r="C284" s="14">
        <f>IF(A284="","",YEAR(A284)&amp;"-Q"&amp;ROUNDUP(MONTH(A284)/3,0))</f>
        <v/>
      </c>
      <c r="D284" s="14" t="inlineStr">
        <is>
          <t>20/1222</t>
        </is>
      </c>
      <c r="E284" s="14" t="inlineStr">
        <is>
          <t>Antwort</t>
        </is>
      </c>
      <c r="F284" s="14" t="inlineStr">
        <is>
          <t>Bundesregierung</t>
        </is>
      </c>
      <c r="G284" s="14" t="inlineStr">
        <is>
          <t>Regierung</t>
        </is>
      </c>
      <c r="H284" s="14" t="inlineStr">
        <is>
          <t>20</t>
        </is>
      </c>
      <c r="I284" s="14" t="inlineStr">
        <is>
          <t>Bahnhoefe; Finanzierung</t>
        </is>
      </c>
      <c r="J284" s="14" t="inlineStr">
        <is>
          <t>20/785</t>
        </is>
      </c>
      <c r="K284" s="15">
        <f>IF(OR(J284="",LEFT(E284,7)&lt;&gt;"Antwort"),"",IFERROR(A284-INDEX($A$2:$A$293,MATCH(J284,$D$2:$D$293,0)),""))</f>
        <v/>
      </c>
      <c r="L284" s="14">
        <f>IF(E284&lt;&gt;"Kleine Anfrage","",IFERROR(INDEX($D$2:$D$293,MATCH(D284,$J$2:$J$293,0)),"offen"))</f>
        <v/>
      </c>
      <c r="M284" s="14" t="inlineStr">
        <is>
          <t>Leistungs- und Finanzierungsvereinbarung zur Verlegung des Bahnhofs Fangschleuse</t>
        </is>
      </c>
      <c r="N284" s="14" t="inlineStr">
        <is>
          <t>Bundesregierung</t>
        </is>
      </c>
      <c r="O284" s="16" t="inlineStr">
        <is>
          <t>PDF</t>
        </is>
      </c>
      <c r="P284" s="14" t="inlineStr">
        <is>
          <t>Linke</t>
        </is>
      </c>
      <c r="Q284" s="14" t="inlineStr"/>
      <c r="R284" s="14">
        <f>IF(COUNTIF(Abstimmungen!$B$5:$B$2000,D284)-COUNTIFS(Abstimmungen!$B$5:$B$2000,D284,Abstimmungen!$D$5:$D$2000,"*berweisung*")&gt;0,1,0)</f>
        <v/>
      </c>
    </row>
    <row r="285">
      <c r="A285" s="13" t="n">
        <v>44638</v>
      </c>
      <c r="B285" s="14">
        <f>IF(A285="","",YEAR(A285))</f>
        <v/>
      </c>
      <c r="C285" s="14">
        <f>IF(A285="","",YEAR(A285)&amp;"-Q"&amp;ROUNDUP(MONTH(A285)/3,0))</f>
        <v/>
      </c>
      <c r="D285" s="14" t="inlineStr">
        <is>
          <t>20/1169</t>
        </is>
      </c>
      <c r="E285" s="14" t="inlineStr">
        <is>
          <t>Antwort</t>
        </is>
      </c>
      <c r="F285" s="14" t="inlineStr">
        <is>
          <t>Bundesregierung</t>
        </is>
      </c>
      <c r="G285" s="14" t="inlineStr">
        <is>
          <t>Regierung</t>
        </is>
      </c>
      <c r="H285" s="14" t="inlineStr">
        <is>
          <t>20</t>
        </is>
      </c>
      <c r="I285" s="14" t="inlineStr">
        <is>
          <t>Puenktlichkeit/Qualitaet</t>
        </is>
      </c>
      <c r="J285" s="14" t="inlineStr">
        <is>
          <t>20/919</t>
        </is>
      </c>
      <c r="K285" s="15">
        <f>IF(OR(J285="",LEFT(E285,7)&lt;&gt;"Antwort"),"",IFERROR(A285-INDEX($A$2:$A$293,MATCH(J285,$D$2:$D$293,0)),""))</f>
        <v/>
      </c>
      <c r="L285" s="14">
        <f>IF(E285&lt;&gt;"Kleine Anfrage","",IFERROR(INDEX($D$2:$D$293,MATCH(D285,$J$2:$J$293,0)),"offen"))</f>
        <v/>
      </c>
      <c r="M285" s="14" t="inlineStr">
        <is>
          <t>Qualität von Lärmschutzwänden an Schienenstrecken der Deutschen Bahn AG</t>
        </is>
      </c>
      <c r="N285" s="14" t="inlineStr">
        <is>
          <t>Bundesregierung</t>
        </is>
      </c>
      <c r="O285" s="16" t="inlineStr">
        <is>
          <t>PDF</t>
        </is>
      </c>
      <c r="P285" s="14" t="inlineStr">
        <is>
          <t>AfD</t>
        </is>
      </c>
      <c r="Q285" s="14" t="inlineStr"/>
      <c r="R285" s="14">
        <f>IF(COUNTIF(Abstimmungen!$B$5:$B$2000,D285)-COUNTIFS(Abstimmungen!$B$5:$B$2000,D285,Abstimmungen!$D$5:$D$2000,"*berweisung*")&gt;0,1,0)</f>
        <v/>
      </c>
    </row>
    <row r="286">
      <c r="A286" s="13" t="n">
        <v>44624</v>
      </c>
      <c r="B286" s="14">
        <f>IF(A286="","",YEAR(A286))</f>
        <v/>
      </c>
      <c r="C286" s="14">
        <f>IF(A286="","",YEAR(A286)&amp;"-Q"&amp;ROUNDUP(MONTH(A286)/3,0))</f>
        <v/>
      </c>
      <c r="D286" s="14" t="inlineStr">
        <is>
          <t>20/919</t>
        </is>
      </c>
      <c r="E286" s="14" t="inlineStr">
        <is>
          <t>Kleine Anfrage</t>
        </is>
      </c>
      <c r="F286" s="14" t="inlineStr">
        <is>
          <t>AfD</t>
        </is>
      </c>
      <c r="G286" s="14" t="inlineStr">
        <is>
          <t>Opposition</t>
        </is>
      </c>
      <c r="H286" s="14" t="inlineStr">
        <is>
          <t>20</t>
        </is>
      </c>
      <c r="I286" s="14" t="inlineStr">
        <is>
          <t>Puenktlichkeit/Qualitaet</t>
        </is>
      </c>
      <c r="J286" s="14" t="inlineStr"/>
      <c r="K286" s="15">
        <f>IF(OR(J286="",LEFT(E286,7)&lt;&gt;"Antwort"),"",IFERROR(A286-INDEX($A$2:$A$293,MATCH(J286,$D$2:$D$293,0)),""))</f>
        <v/>
      </c>
      <c r="L286" s="14">
        <f>IF(E286&lt;&gt;"Kleine Anfrage","",IFERROR(INDEX($D$2:$D$293,MATCH(D286,$J$2:$J$293,0)),"offen"))</f>
        <v/>
      </c>
      <c r="M286" s="14" t="inlineStr">
        <is>
          <t>Qualität von Lärmschutzwänden an Schienenstrecken der Deutschen Bahn AG</t>
        </is>
      </c>
      <c r="N286" s="14" t="inlineStr">
        <is>
          <t>Fraktion der AfD</t>
        </is>
      </c>
      <c r="O286" s="16" t="inlineStr">
        <is>
          <t>PDF</t>
        </is>
      </c>
      <c r="P286" s="14" t="inlineStr"/>
      <c r="Q286" s="14" t="inlineStr"/>
      <c r="R286" s="14">
        <f>IF(COUNTIF(Abstimmungen!$B$5:$B$2000,D286)-COUNTIFS(Abstimmungen!$B$5:$B$2000,D286,Abstimmungen!$D$5:$D$2000,"*berweisung*")&gt;0,1,0)</f>
        <v/>
      </c>
    </row>
    <row r="287">
      <c r="A287" s="13" t="n">
        <v>44614</v>
      </c>
      <c r="B287" s="14">
        <f>IF(A287="","",YEAR(A287))</f>
        <v/>
      </c>
      <c r="C287" s="14">
        <f>IF(A287="","",YEAR(A287)&amp;"-Q"&amp;ROUNDUP(MONTH(A287)/3,0))</f>
        <v/>
      </c>
      <c r="D287" s="14" t="inlineStr">
        <is>
          <t>20/785</t>
        </is>
      </c>
      <c r="E287" s="14" t="inlineStr">
        <is>
          <t>Kleine Anfrage</t>
        </is>
      </c>
      <c r="F287" s="14" t="inlineStr">
        <is>
          <t>Linke</t>
        </is>
      </c>
      <c r="G287" s="14" t="inlineStr">
        <is>
          <t>Opposition</t>
        </is>
      </c>
      <c r="H287" s="14" t="inlineStr">
        <is>
          <t>20</t>
        </is>
      </c>
      <c r="I287" s="14" t="inlineStr">
        <is>
          <t>Bahnhoefe; Finanzierung</t>
        </is>
      </c>
      <c r="J287" s="14" t="inlineStr"/>
      <c r="K287" s="15">
        <f>IF(OR(J287="",LEFT(E287,7)&lt;&gt;"Antwort"),"",IFERROR(A287-INDEX($A$2:$A$293,MATCH(J287,$D$2:$D$293,0)),""))</f>
        <v/>
      </c>
      <c r="L287" s="14">
        <f>IF(E287&lt;&gt;"Kleine Anfrage","",IFERROR(INDEX($D$2:$D$293,MATCH(D287,$J$2:$J$293,0)),"offen"))</f>
        <v/>
      </c>
      <c r="M287" s="14" t="inlineStr">
        <is>
          <t>Leistungs- und Finanzierungsvereinbarung zur Verlegung des Bahnhofs Fangschleuse</t>
        </is>
      </c>
      <c r="N287" s="14" t="inlineStr">
        <is>
          <t>Fraktion DIE LINKE</t>
        </is>
      </c>
      <c r="O287" s="16" t="inlineStr">
        <is>
          <t>PDF</t>
        </is>
      </c>
      <c r="P287" s="14" t="inlineStr"/>
      <c r="Q287" s="14" t="inlineStr"/>
      <c r="R287" s="14">
        <f>IF(COUNTIF(Abstimmungen!$B$5:$B$2000,D287)-COUNTIFS(Abstimmungen!$B$5:$B$2000,D287,Abstimmungen!$D$5:$D$2000,"*berweisung*")&gt;0,1,0)</f>
        <v/>
      </c>
    </row>
    <row r="288">
      <c r="A288" s="13" t="n">
        <v>44609</v>
      </c>
      <c r="B288" s="14">
        <f>IF(A288="","",YEAR(A288))</f>
        <v/>
      </c>
      <c r="C288" s="14">
        <f>IF(A288="","",YEAR(A288)&amp;"-Q"&amp;ROUNDUP(MONTH(A288)/3,0))</f>
        <v/>
      </c>
      <c r="D288" s="14" t="inlineStr">
        <is>
          <t>20/773</t>
        </is>
      </c>
      <c r="E288" s="14" t="inlineStr">
        <is>
          <t>Antwort</t>
        </is>
      </c>
      <c r="F288" s="14" t="inlineStr">
        <is>
          <t>Bundesregierung</t>
        </is>
      </c>
      <c r="G288" s="14" t="inlineStr">
        <is>
          <t>Regierung</t>
        </is>
      </c>
      <c r="H288" s="14" t="inlineStr">
        <is>
          <t>20</t>
        </is>
      </c>
      <c r="I288" s="14" t="inlineStr">
        <is>
          <t>Bahnhoefe; Kriminalitaet</t>
        </is>
      </c>
      <c r="J288" s="14" t="inlineStr">
        <is>
          <t>20/580</t>
        </is>
      </c>
      <c r="K288" s="15">
        <f>IF(OR(J288="",LEFT(E288,7)&lt;&gt;"Antwort"),"",IFERROR(A288-INDEX($A$2:$A$293,MATCH(J288,$D$2:$D$293,0)),""))</f>
        <v/>
      </c>
      <c r="L288" s="14">
        <f>IF(E288&lt;&gt;"Kleine Anfrage","",IFERROR(INDEX($D$2:$D$293,MATCH(D288,$J$2:$J$293,0)),"offen"))</f>
        <v/>
      </c>
      <c r="M288" s="14" t="inlineStr">
        <is>
          <t>Kriminalitätsfelder in Bezug auf Bahnhöfe und Züge im zweiten Halbjahr 2021</t>
        </is>
      </c>
      <c r="N288" s="14" t="inlineStr">
        <is>
          <t>Bundesregierung</t>
        </is>
      </c>
      <c r="O288" s="16" t="inlineStr">
        <is>
          <t>PDF</t>
        </is>
      </c>
      <c r="P288" s="14" t="inlineStr">
        <is>
          <t>AfD</t>
        </is>
      </c>
      <c r="Q288" s="14" t="inlineStr"/>
      <c r="R288" s="14">
        <f>IF(COUNTIF(Abstimmungen!$B$5:$B$2000,D288)-COUNTIFS(Abstimmungen!$B$5:$B$2000,D288,Abstimmungen!$D$5:$D$2000,"*berweisung*")&gt;0,1,0)</f>
        <v/>
      </c>
    </row>
    <row r="289">
      <c r="A289" s="13" t="n">
        <v>44608</v>
      </c>
      <c r="B289" s="14">
        <f>IF(A289="","",YEAR(A289))</f>
        <v/>
      </c>
      <c r="C289" s="14">
        <f>IF(A289="","",YEAR(A289)&amp;"-Q"&amp;ROUNDUP(MONTH(A289)/3,0))</f>
        <v/>
      </c>
      <c r="D289" s="14" t="inlineStr">
        <is>
          <t>20/710</t>
        </is>
      </c>
      <c r="E289" s="14" t="inlineStr">
        <is>
          <t>Wahlvorschlag</t>
        </is>
      </c>
      <c r="F289" s="14" t="inlineStr">
        <is>
          <t>Mehrere Fraktionen</t>
        </is>
      </c>
      <c r="G289" s="14" t="inlineStr">
        <is>
          <t>Fraktionsuebergreifend</t>
        </is>
      </c>
      <c r="H289" s="14" t="inlineStr">
        <is>
          <t>20</t>
        </is>
      </c>
      <c r="I289" s="14" t="inlineStr">
        <is>
          <t>Sonstiges</t>
        </is>
      </c>
      <c r="J289" s="14" t="inlineStr"/>
      <c r="K289" s="15">
        <f>IF(OR(J289="",LEFT(E289,7)&lt;&gt;"Antwort"),"",IFERROR(A289-INDEX($A$2:$A$293,MATCH(J289,$D$2:$D$293,0)),""))</f>
        <v/>
      </c>
      <c r="L289" s="14">
        <f>IF(E289&lt;&gt;"Kleine Anfrage","",IFERROR(INDEX($D$2:$D$293,MATCH(D289,$J$2:$J$293,0)),"offen"))</f>
        <v/>
      </c>
      <c r="M289" s="14" t="inlineStr">
        <is>
          <t>Wahl der Mitglieder des Beirats bei der Bundesnetzagentur für Elektrizität, Gas, Telekommunikation, Post und Eisenbahnen</t>
        </is>
      </c>
      <c r="N289" s="14" t="inlineStr">
        <is>
          <t>Fraktion BÜNDNIS 90/DIE GRÜNEN; Fraktion der AfD; Fraktion der CDU/CSU; Fraktion der FDP; Fraktion der SPD; Fraktion DIE LINKE</t>
        </is>
      </c>
      <c r="O289" s="16" t="inlineStr">
        <is>
          <t>PDF</t>
        </is>
      </c>
      <c r="P289" s="14" t="inlineStr"/>
      <c r="Q289" s="14" t="inlineStr"/>
      <c r="R289" s="14">
        <f>IF(COUNTIF(Abstimmungen!$B$5:$B$2000,D289)-COUNTIFS(Abstimmungen!$B$5:$B$2000,D289,Abstimmungen!$D$5:$D$2000,"*berweisung*")&gt;0,1,0)</f>
        <v/>
      </c>
    </row>
    <row r="290">
      <c r="A290" s="13" t="n">
        <v>44594</v>
      </c>
      <c r="B290" s="14">
        <f>IF(A290="","",YEAR(A290))</f>
        <v/>
      </c>
      <c r="C290" s="14">
        <f>IF(A290="","",YEAR(A290)&amp;"-Q"&amp;ROUNDUP(MONTH(A290)/3,0))</f>
        <v/>
      </c>
      <c r="D290" s="14" t="inlineStr">
        <is>
          <t>20/580</t>
        </is>
      </c>
      <c r="E290" s="14" t="inlineStr">
        <is>
          <t>Kleine Anfrage</t>
        </is>
      </c>
      <c r="F290" s="14" t="inlineStr">
        <is>
          <t>AfD</t>
        </is>
      </c>
      <c r="G290" s="14" t="inlineStr">
        <is>
          <t>Opposition</t>
        </is>
      </c>
      <c r="H290" s="14" t="inlineStr">
        <is>
          <t>20</t>
        </is>
      </c>
      <c r="I290" s="14" t="inlineStr">
        <is>
          <t>Bahnhoefe; Kriminalitaet</t>
        </is>
      </c>
      <c r="J290" s="14" t="inlineStr"/>
      <c r="K290" s="15">
        <f>IF(OR(J290="",LEFT(E290,7)&lt;&gt;"Antwort"),"",IFERROR(A290-INDEX($A$2:$A$293,MATCH(J290,$D$2:$D$293,0)),""))</f>
        <v/>
      </c>
      <c r="L290" s="14">
        <f>IF(E290&lt;&gt;"Kleine Anfrage","",IFERROR(INDEX($D$2:$D$293,MATCH(D290,$J$2:$J$293,0)),"offen"))</f>
        <v/>
      </c>
      <c r="M290" s="14" t="inlineStr">
        <is>
          <t>Kriminalitätsfelder in Bezug auf Bahnhöfe und Züge im zweiten Halbjahr 2021</t>
        </is>
      </c>
      <c r="N290" s="14" t="inlineStr">
        <is>
          <t>Fraktion der AfD</t>
        </is>
      </c>
      <c r="O290" s="16" t="inlineStr">
        <is>
          <t>PDF</t>
        </is>
      </c>
      <c r="P290" s="14" t="inlineStr"/>
      <c r="Q290" s="14" t="inlineStr">
        <is>
          <t>Bahnhöfe / Kriminalitätsfelder</t>
        </is>
      </c>
      <c r="R290" s="14">
        <f>IF(COUNTIF(Abstimmungen!$B$5:$B$2000,D290)-COUNTIFS(Abstimmungen!$B$5:$B$2000,D290,Abstimmungen!$D$5:$D$2000,"*berweisung*")&gt;0,1,0)</f>
        <v/>
      </c>
    </row>
    <row r="291">
      <c r="A291" s="13" t="n">
        <v>44586</v>
      </c>
      <c r="B291" s="14">
        <f>IF(A291="","",YEAR(A291))</f>
        <v/>
      </c>
      <c r="C291" s="14">
        <f>IF(A291="","",YEAR(A291)&amp;"-Q"&amp;ROUNDUP(MONTH(A291)/3,0))</f>
        <v/>
      </c>
      <c r="D291" s="14" t="inlineStr">
        <is>
          <t>20/672</t>
        </is>
      </c>
      <c r="E291" s="14" t="inlineStr">
        <is>
          <t>Unterrichtung</t>
        </is>
      </c>
      <c r="F291" s="14" t="inlineStr">
        <is>
          <t>Bundesregierung</t>
        </is>
      </c>
      <c r="G291" s="14" t="inlineStr">
        <is>
          <t>Regierung</t>
        </is>
      </c>
      <c r="H291" s="14" t="inlineStr">
        <is>
          <t>20</t>
        </is>
      </c>
      <c r="I291" s="14" t="inlineStr">
        <is>
          <t>Nahverkehr/SPNV; Finanzierung</t>
        </is>
      </c>
      <c r="J291" s="14" t="inlineStr"/>
      <c r="K291" s="15">
        <f>IF(OR(J291="",LEFT(E291,7)&lt;&gt;"Antwort"),"",IFERROR(A291-INDEX($A$2:$A$293,MATCH(J291,$D$2:$D$293,0)),""))</f>
        <v/>
      </c>
      <c r="L291" s="14">
        <f>IF(E291&lt;&gt;"Kleine Anfrage","",IFERROR(INDEX($D$2:$D$293,MATCH(D291,$J$2:$J$293,0)),"offen"))</f>
        <v/>
      </c>
      <c r="M291" s="14" t="inlineStr">
        <is>
          <t>Bericht der Bundesregierung zur Verwendung der Regionalisierungsmittel durch die Länder im Jahr 2018</t>
        </is>
      </c>
      <c r="N291" s="14" t="inlineStr">
        <is>
          <t>Bundesregierung</t>
        </is>
      </c>
      <c r="O291" s="16" t="inlineStr">
        <is>
          <t>PDF</t>
        </is>
      </c>
      <c r="P291" s="14" t="inlineStr"/>
      <c r="Q291" s="14" t="inlineStr"/>
      <c r="R291" s="14">
        <f>IF(COUNTIF(Abstimmungen!$B$5:$B$2000,D291)-COUNTIFS(Abstimmungen!$B$5:$B$2000,D291,Abstimmungen!$D$5:$D$2000,"*berweisung*")&gt;0,1,0)</f>
        <v/>
      </c>
    </row>
    <row r="292">
      <c r="A292" s="13" t="n">
        <v>44522</v>
      </c>
      <c r="B292" s="14">
        <f>IF(A292="","",YEAR(A292))</f>
        <v/>
      </c>
      <c r="C292" s="14">
        <f>IF(A292="","",YEAR(A292)&amp;"-Q"&amp;ROUNDUP(MONTH(A292)/3,0))</f>
        <v/>
      </c>
      <c r="D292" s="14" t="inlineStr">
        <is>
          <t>20/114</t>
        </is>
      </c>
      <c r="E292" s="14" t="inlineStr">
        <is>
          <t>Antwort</t>
        </is>
      </c>
      <c r="F292" s="14" t="inlineStr">
        <is>
          <t>Bundesregierung</t>
        </is>
      </c>
      <c r="G292" s="14" t="inlineStr">
        <is>
          <t>Regierung</t>
        </is>
      </c>
      <c r="H292" s="14" t="inlineStr">
        <is>
          <t>20</t>
        </is>
      </c>
      <c r="I292" s="14" t="inlineStr">
        <is>
          <t>Bahnhoefe; Kriminalitaet</t>
        </is>
      </c>
      <c r="J292" s="14" t="inlineStr">
        <is>
          <t>20/69</t>
        </is>
      </c>
      <c r="K292" s="15">
        <f>IF(OR(J292="",LEFT(E292,7)&lt;&gt;"Antwort"),"",IFERROR(A292-INDEX($A$2:$A$293,MATCH(J292,$D$2:$D$293,0)),""))</f>
        <v/>
      </c>
      <c r="L292" s="14">
        <f>IF(E292&lt;&gt;"Kleine Anfrage","",IFERROR(INDEX($D$2:$D$293,MATCH(D292,$J$2:$J$293,0)),"offen"))</f>
        <v/>
      </c>
      <c r="M292" s="14" t="inlineStr">
        <is>
          <t>Kriminalitätsfelder in Bezug auf Bahnhöfe in Baden-Württemberg 2015 bis heute, 2021 erstes Halbjahr</t>
        </is>
      </c>
      <c r="N292" s="14" t="inlineStr">
        <is>
          <t>Bundesregierung</t>
        </is>
      </c>
      <c r="O292" s="16" t="inlineStr">
        <is>
          <t>PDF</t>
        </is>
      </c>
      <c r="P292" s="14" t="inlineStr">
        <is>
          <t>AfD</t>
        </is>
      </c>
      <c r="Q292" s="14" t="inlineStr"/>
      <c r="R292" s="14">
        <f>IF(COUNTIF(Abstimmungen!$B$5:$B$2000,D292)-COUNTIFS(Abstimmungen!$B$5:$B$2000,D292,Abstimmungen!$D$5:$D$2000,"*berweisung*")&gt;0,1,0)</f>
        <v/>
      </c>
    </row>
    <row r="293">
      <c r="A293" s="13" t="n">
        <v>44516</v>
      </c>
      <c r="B293" s="14">
        <f>IF(A293="","",YEAR(A293))</f>
        <v/>
      </c>
      <c r="C293" s="14">
        <f>IF(A293="","",YEAR(A293)&amp;"-Q"&amp;ROUNDUP(MONTH(A293)/3,0))</f>
        <v/>
      </c>
      <c r="D293" s="14" t="inlineStr">
        <is>
          <t>20/69</t>
        </is>
      </c>
      <c r="E293" s="14" t="inlineStr">
        <is>
          <t>Kleine Anfrage</t>
        </is>
      </c>
      <c r="F293" s="14" t="inlineStr">
        <is>
          <t>AfD</t>
        </is>
      </c>
      <c r="G293" s="14" t="inlineStr">
        <is>
          <t>Opposition</t>
        </is>
      </c>
      <c r="H293" s="14" t="inlineStr">
        <is>
          <t>20</t>
        </is>
      </c>
      <c r="I293" s="14" t="inlineStr">
        <is>
          <t>Bahnhoefe; Kriminalitaet</t>
        </is>
      </c>
      <c r="J293" s="14" t="inlineStr"/>
      <c r="K293" s="15">
        <f>IF(OR(J293="",LEFT(E293,7)&lt;&gt;"Antwort"),"",IFERROR(A293-INDEX($A$2:$A$293,MATCH(J293,$D$2:$D$293,0)),""))</f>
        <v/>
      </c>
      <c r="L293" s="14">
        <f>IF(E293&lt;&gt;"Kleine Anfrage","",IFERROR(INDEX($D$2:$D$293,MATCH(D293,$J$2:$J$293,0)),"offen"))</f>
        <v/>
      </c>
      <c r="M293" s="14" t="inlineStr">
        <is>
          <t>Kriminalitätsfelder in Bezug auf Bahnhöfe in Baden-Württemberg 2015 bis heute, 2021 erstes Halbjahr</t>
        </is>
      </c>
      <c r="N293" s="14" t="inlineStr">
        <is>
          <t>Fraktion der AfD</t>
        </is>
      </c>
      <c r="O293" s="16" t="inlineStr">
        <is>
          <t>PDF</t>
        </is>
      </c>
      <c r="P293" s="14" t="inlineStr"/>
      <c r="Q293" s="14" t="inlineStr">
        <is>
          <t>Bahnhöfe / Kriminalitätsfelder</t>
        </is>
      </c>
      <c r="R293" s="14">
        <f>IF(COUNTIF(Abstimmungen!$B$5:$B$2000,D293)-COUNTIFS(Abstimmungen!$B$5:$B$2000,D293,Abstimmungen!$D$5:$D$2000,"*berweisung*")&gt;0,1,0)</f>
        <v/>
      </c>
    </row>
  </sheetData>
  <autoFilter ref="A1:Q293"/>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0" customWidth="1" min="1" max="1"/>
    <col width="20" customWidth="1" min="2" max="2"/>
    <col width="16" customWidth="1" min="3" max="3"/>
    <col width="16" customWidth="1" min="4" max="4"/>
    <col width="16" customWidth="1" min="5" max="5"/>
    <col width="16" customWidth="1" min="6" max="6"/>
    <col width="16" customWidth="1" min="7" max="7"/>
    <col width="16" customWidth="1" min="8" max="8"/>
  </cols>
  <sheetData>
    <row r="1">
      <c r="A1" s="17" t="inlineStr">
        <is>
          <t>Eigene Initiativen je Fraktion</t>
        </is>
      </c>
    </row>
    <row r="2">
      <c r="A2" s="18" t="inlineStr">
        <is>
          <t>Nur selbst eingebrachte Drucksachen. Antworten der Bundesregierung und Beschlussempfehlungen der Ausschuesse sind Reaktionen und hier bewusst nicht enthalten.</t>
        </is>
      </c>
    </row>
    <row r="4" ht="28" customHeight="1">
      <c r="A4" s="11" t="inlineStr">
        <is>
          <t>Fraktion</t>
        </is>
      </c>
      <c r="B4" s="11" t="inlineStr">
        <is>
          <t>Rolle ab WP 21</t>
        </is>
      </c>
      <c r="C4" s="11" t="inlineStr">
        <is>
          <t>Kleine Anfrage</t>
        </is>
      </c>
      <c r="D4" s="11" t="inlineStr">
        <is>
          <t>Antrag</t>
        </is>
      </c>
      <c r="E4" s="11" t="inlineStr">
        <is>
          <t>Entschließungsantrag</t>
        </is>
      </c>
      <c r="F4" s="11" t="inlineStr">
        <is>
          <t>Gesetzentwurf</t>
        </is>
      </c>
      <c r="G4" s="11" t="inlineStr">
        <is>
          <t>Gesamt</t>
        </is>
      </c>
      <c r="H4" s="11" t="inlineStr">
        <is>
          <t>Anteil</t>
        </is>
      </c>
    </row>
    <row r="5">
      <c r="A5" s="19" t="inlineStr">
        <is>
          <t>CDU/CSU</t>
        </is>
      </c>
      <c r="B5" s="19" t="inlineStr">
        <is>
          <t>Regierungsfraktion</t>
        </is>
      </c>
      <c r="C5" s="19">
        <f>COUNTIFS(Drucksachen!$F$2:$F$293,$A5,Drucksachen!$E$2:$E$293,C$4)</f>
        <v/>
      </c>
      <c r="D5" s="19">
        <f>COUNTIFS(Drucksachen!$F$2:$F$293,$A5,Drucksachen!$E$2:$E$293,D$4)</f>
        <v/>
      </c>
      <c r="E5" s="19">
        <f>COUNTIFS(Drucksachen!$F$2:$F$293,$A5,Drucksachen!$E$2:$E$293,E$4)</f>
        <v/>
      </c>
      <c r="F5" s="19">
        <f>COUNTIFS(Drucksachen!$F$2:$F$293,$A5,Drucksachen!$E$2:$E$293,F$4)</f>
        <v/>
      </c>
      <c r="G5" s="19">
        <f>SUM(C5:F5)</f>
        <v/>
      </c>
      <c r="H5" s="20">
        <f>IFERROR(G5/G$10,0)</f>
        <v/>
      </c>
    </row>
    <row r="6">
      <c r="A6" s="19" t="inlineStr">
        <is>
          <t>Gruene</t>
        </is>
      </c>
      <c r="B6" s="19" t="inlineStr">
        <is>
          <t>Opposition</t>
        </is>
      </c>
      <c r="C6" s="19">
        <f>COUNTIFS(Drucksachen!$F$2:$F$293,$A6,Drucksachen!$E$2:$E$293,C$4)</f>
        <v/>
      </c>
      <c r="D6" s="19">
        <f>COUNTIFS(Drucksachen!$F$2:$F$293,$A6,Drucksachen!$E$2:$E$293,D$4)</f>
        <v/>
      </c>
      <c r="E6" s="19">
        <f>COUNTIFS(Drucksachen!$F$2:$F$293,$A6,Drucksachen!$E$2:$E$293,E$4)</f>
        <v/>
      </c>
      <c r="F6" s="19">
        <f>COUNTIFS(Drucksachen!$F$2:$F$293,$A6,Drucksachen!$E$2:$E$293,F$4)</f>
        <v/>
      </c>
      <c r="G6" s="19">
        <f>SUM(C6:F6)</f>
        <v/>
      </c>
      <c r="H6" s="20">
        <f>IFERROR(G6/G$10,0)</f>
        <v/>
      </c>
    </row>
    <row r="7">
      <c r="A7" s="19" t="inlineStr">
        <is>
          <t>AfD</t>
        </is>
      </c>
      <c r="B7" s="19" t="inlineStr">
        <is>
          <t>Opposition</t>
        </is>
      </c>
      <c r="C7" s="19">
        <f>COUNTIFS(Drucksachen!$F$2:$F$293,$A7,Drucksachen!$E$2:$E$293,C$4)</f>
        <v/>
      </c>
      <c r="D7" s="19">
        <f>COUNTIFS(Drucksachen!$F$2:$F$293,$A7,Drucksachen!$E$2:$E$293,D$4)</f>
        <v/>
      </c>
      <c r="E7" s="19">
        <f>COUNTIFS(Drucksachen!$F$2:$F$293,$A7,Drucksachen!$E$2:$E$293,E$4)</f>
        <v/>
      </c>
      <c r="F7" s="19">
        <f>COUNTIFS(Drucksachen!$F$2:$F$293,$A7,Drucksachen!$E$2:$E$293,F$4)</f>
        <v/>
      </c>
      <c r="G7" s="19">
        <f>SUM(C7:F7)</f>
        <v/>
      </c>
      <c r="H7" s="20">
        <f>IFERROR(G7/G$10,0)</f>
        <v/>
      </c>
    </row>
    <row r="8">
      <c r="A8" s="19" t="inlineStr">
        <is>
          <t>Linke</t>
        </is>
      </c>
      <c r="B8" s="19" t="inlineStr">
        <is>
          <t>Opposition</t>
        </is>
      </c>
      <c r="C8" s="19">
        <f>COUNTIFS(Drucksachen!$F$2:$F$293,$A8,Drucksachen!$E$2:$E$293,C$4)</f>
        <v/>
      </c>
      <c r="D8" s="19">
        <f>COUNTIFS(Drucksachen!$F$2:$F$293,$A8,Drucksachen!$E$2:$E$293,D$4)</f>
        <v/>
      </c>
      <c r="E8" s="19">
        <f>COUNTIFS(Drucksachen!$F$2:$F$293,$A8,Drucksachen!$E$2:$E$293,E$4)</f>
        <v/>
      </c>
      <c r="F8" s="19">
        <f>COUNTIFS(Drucksachen!$F$2:$F$293,$A8,Drucksachen!$E$2:$E$293,F$4)</f>
        <v/>
      </c>
      <c r="G8" s="19">
        <f>SUM(C8:F8)</f>
        <v/>
      </c>
      <c r="H8" s="20">
        <f>IFERROR(G8/G$10,0)</f>
        <v/>
      </c>
    </row>
    <row r="9">
      <c r="A9" s="19" t="inlineStr">
        <is>
          <t>Mehrere Fraktionen</t>
        </is>
      </c>
      <c r="B9" s="19" t="inlineStr">
        <is>
          <t>Fraktionsuebergreifend</t>
        </is>
      </c>
      <c r="C9" s="19">
        <f>COUNTIFS(Drucksachen!$F$2:$F$293,$A9,Drucksachen!$E$2:$E$293,C$4)</f>
        <v/>
      </c>
      <c r="D9" s="19">
        <f>COUNTIFS(Drucksachen!$F$2:$F$293,$A9,Drucksachen!$E$2:$E$293,D$4)</f>
        <v/>
      </c>
      <c r="E9" s="19">
        <f>COUNTIFS(Drucksachen!$F$2:$F$293,$A9,Drucksachen!$E$2:$E$293,E$4)</f>
        <v/>
      </c>
      <c r="F9" s="19">
        <f>COUNTIFS(Drucksachen!$F$2:$F$293,$A9,Drucksachen!$E$2:$E$293,F$4)</f>
        <v/>
      </c>
      <c r="G9" s="19">
        <f>SUM(C9:F9)</f>
        <v/>
      </c>
      <c r="H9" s="20">
        <f>IFERROR(G9/G$10,0)</f>
        <v/>
      </c>
    </row>
    <row r="10">
      <c r="A10" s="21" t="inlineStr">
        <is>
          <t>Gesamt</t>
        </is>
      </c>
      <c r="B10" s="21" t="n"/>
      <c r="C10" s="21">
        <f>SUM(C5:C9)</f>
        <v/>
      </c>
      <c r="D10" s="21">
        <f>SUM(D5:D9)</f>
        <v/>
      </c>
      <c r="E10" s="21">
        <f>SUM(E5:E9)</f>
        <v/>
      </c>
      <c r="F10" s="21">
        <f>SUM(F5:F9)</f>
        <v/>
      </c>
      <c r="G10" s="21">
        <f>SUM(G5:G9)</f>
        <v/>
      </c>
      <c r="H10" s="21" t="n"/>
    </row>
  </sheetData>
  <mergeCells count="1">
    <mergeCell ref="A2:H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Drucksachen je Quartal</t>
        </is>
      </c>
    </row>
    <row r="3" ht="28" customHeight="1">
      <c r="A3" s="11" t="inlineStr">
        <is>
          <t>Quartal</t>
        </is>
      </c>
      <c r="B3" s="11" t="inlineStr">
        <is>
          <t>CDU/CSU</t>
        </is>
      </c>
      <c r="C3" s="11" t="inlineStr">
        <is>
          <t>Gruene</t>
        </is>
      </c>
      <c r="D3" s="11" t="inlineStr">
        <is>
          <t>AfD</t>
        </is>
      </c>
      <c r="E3" s="11" t="inlineStr">
        <is>
          <t>Linke</t>
        </is>
      </c>
      <c r="F3" s="11" t="inlineStr">
        <is>
          <t>Mehrere Fraktionen</t>
        </is>
      </c>
      <c r="G3" s="11" t="inlineStr">
        <is>
          <t>Bundesregierung</t>
        </is>
      </c>
      <c r="H3" s="11" t="inlineStr">
        <is>
          <t>Ausschuesse</t>
        </is>
      </c>
      <c r="I3" s="11" t="inlineStr">
        <is>
          <t>Gesamt</t>
        </is>
      </c>
    </row>
    <row r="4">
      <c r="A4" s="19" t="inlineStr">
        <is>
          <t>2021-Q4</t>
        </is>
      </c>
      <c r="B4" s="19">
        <f>COUNTIFS(Drucksachen!$C$2:$C$293,$A4,Drucksachen!$F$2:$F$293,B$3)</f>
        <v/>
      </c>
      <c r="C4" s="19">
        <f>COUNTIFS(Drucksachen!$C$2:$C$293,$A4,Drucksachen!$F$2:$F$293,C$3)</f>
        <v/>
      </c>
      <c r="D4" s="19">
        <f>COUNTIFS(Drucksachen!$C$2:$C$293,$A4,Drucksachen!$F$2:$F$293,D$3)</f>
        <v/>
      </c>
      <c r="E4" s="19">
        <f>COUNTIFS(Drucksachen!$C$2:$C$293,$A4,Drucksachen!$F$2:$F$293,E$3)</f>
        <v/>
      </c>
      <c r="F4" s="19">
        <f>COUNTIFS(Drucksachen!$C$2:$C$293,$A4,Drucksachen!$F$2:$F$293,F$3)</f>
        <v/>
      </c>
      <c r="G4" s="19">
        <f>COUNTIFS(Drucksachen!$C$2:$C$293,$A4,Drucksachen!$F$2:$F$293,"Bundesregierung")</f>
        <v/>
      </c>
      <c r="H4" s="19">
        <f>COUNTIFS(Drucksachen!$C$2:$C$293,$A4,Drucksachen!$G$2:$G$293,"Ausschuss")</f>
        <v/>
      </c>
      <c r="I4" s="19">
        <f>COUNTIFS(Drucksachen!$C$2:$C$293,$A4)</f>
        <v/>
      </c>
    </row>
    <row r="5">
      <c r="A5" s="19" t="inlineStr">
        <is>
          <t>2022-Q1</t>
        </is>
      </c>
      <c r="B5" s="19">
        <f>COUNTIFS(Drucksachen!$C$2:$C$293,$A5,Drucksachen!$F$2:$F$293,B$3)</f>
        <v/>
      </c>
      <c r="C5" s="19">
        <f>COUNTIFS(Drucksachen!$C$2:$C$293,$A5,Drucksachen!$F$2:$F$293,C$3)</f>
        <v/>
      </c>
      <c r="D5" s="19">
        <f>COUNTIFS(Drucksachen!$C$2:$C$293,$A5,Drucksachen!$F$2:$F$293,D$3)</f>
        <v/>
      </c>
      <c r="E5" s="19">
        <f>COUNTIFS(Drucksachen!$C$2:$C$293,$A5,Drucksachen!$F$2:$F$293,E$3)</f>
        <v/>
      </c>
      <c r="F5" s="19">
        <f>COUNTIFS(Drucksachen!$C$2:$C$293,$A5,Drucksachen!$F$2:$F$293,F$3)</f>
        <v/>
      </c>
      <c r="G5" s="19">
        <f>COUNTIFS(Drucksachen!$C$2:$C$293,$A5,Drucksachen!$F$2:$F$293,"Bundesregierung")</f>
        <v/>
      </c>
      <c r="H5" s="19">
        <f>COUNTIFS(Drucksachen!$C$2:$C$293,$A5,Drucksachen!$G$2:$G$293,"Ausschuss")</f>
        <v/>
      </c>
      <c r="I5" s="19">
        <f>COUNTIFS(Drucksachen!$C$2:$C$293,$A5)</f>
        <v/>
      </c>
    </row>
    <row r="6">
      <c r="A6" s="19" t="inlineStr">
        <is>
          <t>2022-Q2</t>
        </is>
      </c>
      <c r="B6" s="19">
        <f>COUNTIFS(Drucksachen!$C$2:$C$293,$A6,Drucksachen!$F$2:$F$293,B$3)</f>
        <v/>
      </c>
      <c r="C6" s="19">
        <f>COUNTIFS(Drucksachen!$C$2:$C$293,$A6,Drucksachen!$F$2:$F$293,C$3)</f>
        <v/>
      </c>
      <c r="D6" s="19">
        <f>COUNTIFS(Drucksachen!$C$2:$C$293,$A6,Drucksachen!$F$2:$F$293,D$3)</f>
        <v/>
      </c>
      <c r="E6" s="19">
        <f>COUNTIFS(Drucksachen!$C$2:$C$293,$A6,Drucksachen!$F$2:$F$293,E$3)</f>
        <v/>
      </c>
      <c r="F6" s="19">
        <f>COUNTIFS(Drucksachen!$C$2:$C$293,$A6,Drucksachen!$F$2:$F$293,F$3)</f>
        <v/>
      </c>
      <c r="G6" s="19">
        <f>COUNTIFS(Drucksachen!$C$2:$C$293,$A6,Drucksachen!$F$2:$F$293,"Bundesregierung")</f>
        <v/>
      </c>
      <c r="H6" s="19">
        <f>COUNTIFS(Drucksachen!$C$2:$C$293,$A6,Drucksachen!$G$2:$G$293,"Ausschuss")</f>
        <v/>
      </c>
      <c r="I6" s="19">
        <f>COUNTIFS(Drucksachen!$C$2:$C$293,$A6)</f>
        <v/>
      </c>
    </row>
    <row r="7">
      <c r="A7" s="19" t="inlineStr">
        <is>
          <t>2022-Q3</t>
        </is>
      </c>
      <c r="B7" s="19">
        <f>COUNTIFS(Drucksachen!$C$2:$C$293,$A7,Drucksachen!$F$2:$F$293,B$3)</f>
        <v/>
      </c>
      <c r="C7" s="19">
        <f>COUNTIFS(Drucksachen!$C$2:$C$293,$A7,Drucksachen!$F$2:$F$293,C$3)</f>
        <v/>
      </c>
      <c r="D7" s="19">
        <f>COUNTIFS(Drucksachen!$C$2:$C$293,$A7,Drucksachen!$F$2:$F$293,D$3)</f>
        <v/>
      </c>
      <c r="E7" s="19">
        <f>COUNTIFS(Drucksachen!$C$2:$C$293,$A7,Drucksachen!$F$2:$F$293,E$3)</f>
        <v/>
      </c>
      <c r="F7" s="19">
        <f>COUNTIFS(Drucksachen!$C$2:$C$293,$A7,Drucksachen!$F$2:$F$293,F$3)</f>
        <v/>
      </c>
      <c r="G7" s="19">
        <f>COUNTIFS(Drucksachen!$C$2:$C$293,$A7,Drucksachen!$F$2:$F$293,"Bundesregierung")</f>
        <v/>
      </c>
      <c r="H7" s="19">
        <f>COUNTIFS(Drucksachen!$C$2:$C$293,$A7,Drucksachen!$G$2:$G$293,"Ausschuss")</f>
        <v/>
      </c>
      <c r="I7" s="19">
        <f>COUNTIFS(Drucksachen!$C$2:$C$293,$A7)</f>
        <v/>
      </c>
    </row>
    <row r="8">
      <c r="A8" s="19" t="inlineStr">
        <is>
          <t>2022-Q4</t>
        </is>
      </c>
      <c r="B8" s="19">
        <f>COUNTIFS(Drucksachen!$C$2:$C$293,$A8,Drucksachen!$F$2:$F$293,B$3)</f>
        <v/>
      </c>
      <c r="C8" s="19">
        <f>COUNTIFS(Drucksachen!$C$2:$C$293,$A8,Drucksachen!$F$2:$F$293,C$3)</f>
        <v/>
      </c>
      <c r="D8" s="19">
        <f>COUNTIFS(Drucksachen!$C$2:$C$293,$A8,Drucksachen!$F$2:$F$293,D$3)</f>
        <v/>
      </c>
      <c r="E8" s="19">
        <f>COUNTIFS(Drucksachen!$C$2:$C$293,$A8,Drucksachen!$F$2:$F$293,E$3)</f>
        <v/>
      </c>
      <c r="F8" s="19">
        <f>COUNTIFS(Drucksachen!$C$2:$C$293,$A8,Drucksachen!$F$2:$F$293,F$3)</f>
        <v/>
      </c>
      <c r="G8" s="19">
        <f>COUNTIFS(Drucksachen!$C$2:$C$293,$A8,Drucksachen!$F$2:$F$293,"Bundesregierung")</f>
        <v/>
      </c>
      <c r="H8" s="19">
        <f>COUNTIFS(Drucksachen!$C$2:$C$293,$A8,Drucksachen!$G$2:$G$293,"Ausschuss")</f>
        <v/>
      </c>
      <c r="I8" s="19">
        <f>COUNTIFS(Drucksachen!$C$2:$C$293,$A8)</f>
        <v/>
      </c>
    </row>
    <row r="9">
      <c r="A9" s="19" t="inlineStr">
        <is>
          <t>2023-Q1</t>
        </is>
      </c>
      <c r="B9" s="19">
        <f>COUNTIFS(Drucksachen!$C$2:$C$293,$A9,Drucksachen!$F$2:$F$293,B$3)</f>
        <v/>
      </c>
      <c r="C9" s="19">
        <f>COUNTIFS(Drucksachen!$C$2:$C$293,$A9,Drucksachen!$F$2:$F$293,C$3)</f>
        <v/>
      </c>
      <c r="D9" s="19">
        <f>COUNTIFS(Drucksachen!$C$2:$C$293,$A9,Drucksachen!$F$2:$F$293,D$3)</f>
        <v/>
      </c>
      <c r="E9" s="19">
        <f>COUNTIFS(Drucksachen!$C$2:$C$293,$A9,Drucksachen!$F$2:$F$293,E$3)</f>
        <v/>
      </c>
      <c r="F9" s="19">
        <f>COUNTIFS(Drucksachen!$C$2:$C$293,$A9,Drucksachen!$F$2:$F$293,F$3)</f>
        <v/>
      </c>
      <c r="G9" s="19">
        <f>COUNTIFS(Drucksachen!$C$2:$C$293,$A9,Drucksachen!$F$2:$F$293,"Bundesregierung")</f>
        <v/>
      </c>
      <c r="H9" s="19">
        <f>COUNTIFS(Drucksachen!$C$2:$C$293,$A9,Drucksachen!$G$2:$G$293,"Ausschuss")</f>
        <v/>
      </c>
      <c r="I9" s="19">
        <f>COUNTIFS(Drucksachen!$C$2:$C$293,$A9)</f>
        <v/>
      </c>
    </row>
    <row r="10">
      <c r="A10" s="19" t="inlineStr">
        <is>
          <t>2023-Q2</t>
        </is>
      </c>
      <c r="B10" s="19">
        <f>COUNTIFS(Drucksachen!$C$2:$C$293,$A10,Drucksachen!$F$2:$F$293,B$3)</f>
        <v/>
      </c>
      <c r="C10" s="19">
        <f>COUNTIFS(Drucksachen!$C$2:$C$293,$A10,Drucksachen!$F$2:$F$293,C$3)</f>
        <v/>
      </c>
      <c r="D10" s="19">
        <f>COUNTIFS(Drucksachen!$C$2:$C$293,$A10,Drucksachen!$F$2:$F$293,D$3)</f>
        <v/>
      </c>
      <c r="E10" s="19">
        <f>COUNTIFS(Drucksachen!$C$2:$C$293,$A10,Drucksachen!$F$2:$F$293,E$3)</f>
        <v/>
      </c>
      <c r="F10" s="19">
        <f>COUNTIFS(Drucksachen!$C$2:$C$293,$A10,Drucksachen!$F$2:$F$293,F$3)</f>
        <v/>
      </c>
      <c r="G10" s="19">
        <f>COUNTIFS(Drucksachen!$C$2:$C$293,$A10,Drucksachen!$F$2:$F$293,"Bundesregierung")</f>
        <v/>
      </c>
      <c r="H10" s="19">
        <f>COUNTIFS(Drucksachen!$C$2:$C$293,$A10,Drucksachen!$G$2:$G$293,"Ausschuss")</f>
        <v/>
      </c>
      <c r="I10" s="19">
        <f>COUNTIFS(Drucksachen!$C$2:$C$293,$A10)</f>
        <v/>
      </c>
    </row>
    <row r="11">
      <c r="A11" s="19" t="inlineStr">
        <is>
          <t>2023-Q3</t>
        </is>
      </c>
      <c r="B11" s="19">
        <f>COUNTIFS(Drucksachen!$C$2:$C$293,$A11,Drucksachen!$F$2:$F$293,B$3)</f>
        <v/>
      </c>
      <c r="C11" s="19">
        <f>COUNTIFS(Drucksachen!$C$2:$C$293,$A11,Drucksachen!$F$2:$F$293,C$3)</f>
        <v/>
      </c>
      <c r="D11" s="19">
        <f>COUNTIFS(Drucksachen!$C$2:$C$293,$A11,Drucksachen!$F$2:$F$293,D$3)</f>
        <v/>
      </c>
      <c r="E11" s="19">
        <f>COUNTIFS(Drucksachen!$C$2:$C$293,$A11,Drucksachen!$F$2:$F$293,E$3)</f>
        <v/>
      </c>
      <c r="F11" s="19">
        <f>COUNTIFS(Drucksachen!$C$2:$C$293,$A11,Drucksachen!$F$2:$F$293,F$3)</f>
        <v/>
      </c>
      <c r="G11" s="19">
        <f>COUNTIFS(Drucksachen!$C$2:$C$293,$A11,Drucksachen!$F$2:$F$293,"Bundesregierung")</f>
        <v/>
      </c>
      <c r="H11" s="19">
        <f>COUNTIFS(Drucksachen!$C$2:$C$293,$A11,Drucksachen!$G$2:$G$293,"Ausschuss")</f>
        <v/>
      </c>
      <c r="I11" s="19">
        <f>COUNTIFS(Drucksachen!$C$2:$C$293,$A11)</f>
        <v/>
      </c>
    </row>
    <row r="12">
      <c r="A12" s="19" t="inlineStr">
        <is>
          <t>2023-Q4</t>
        </is>
      </c>
      <c r="B12" s="19">
        <f>COUNTIFS(Drucksachen!$C$2:$C$293,$A12,Drucksachen!$F$2:$F$293,B$3)</f>
        <v/>
      </c>
      <c r="C12" s="19">
        <f>COUNTIFS(Drucksachen!$C$2:$C$293,$A12,Drucksachen!$F$2:$F$293,C$3)</f>
        <v/>
      </c>
      <c r="D12" s="19">
        <f>COUNTIFS(Drucksachen!$C$2:$C$293,$A12,Drucksachen!$F$2:$F$293,D$3)</f>
        <v/>
      </c>
      <c r="E12" s="19">
        <f>COUNTIFS(Drucksachen!$C$2:$C$293,$A12,Drucksachen!$F$2:$F$293,E$3)</f>
        <v/>
      </c>
      <c r="F12" s="19">
        <f>COUNTIFS(Drucksachen!$C$2:$C$293,$A12,Drucksachen!$F$2:$F$293,F$3)</f>
        <v/>
      </c>
      <c r="G12" s="19">
        <f>COUNTIFS(Drucksachen!$C$2:$C$293,$A12,Drucksachen!$F$2:$F$293,"Bundesregierung")</f>
        <v/>
      </c>
      <c r="H12" s="19">
        <f>COUNTIFS(Drucksachen!$C$2:$C$293,$A12,Drucksachen!$G$2:$G$293,"Ausschuss")</f>
        <v/>
      </c>
      <c r="I12" s="19">
        <f>COUNTIFS(Drucksachen!$C$2:$C$293,$A12)</f>
        <v/>
      </c>
    </row>
    <row r="13">
      <c r="A13" s="19" t="inlineStr">
        <is>
          <t>2024-Q1</t>
        </is>
      </c>
      <c r="B13" s="19">
        <f>COUNTIFS(Drucksachen!$C$2:$C$293,$A13,Drucksachen!$F$2:$F$293,B$3)</f>
        <v/>
      </c>
      <c r="C13" s="19">
        <f>COUNTIFS(Drucksachen!$C$2:$C$293,$A13,Drucksachen!$F$2:$F$293,C$3)</f>
        <v/>
      </c>
      <c r="D13" s="19">
        <f>COUNTIFS(Drucksachen!$C$2:$C$293,$A13,Drucksachen!$F$2:$F$293,D$3)</f>
        <v/>
      </c>
      <c r="E13" s="19">
        <f>COUNTIFS(Drucksachen!$C$2:$C$293,$A13,Drucksachen!$F$2:$F$293,E$3)</f>
        <v/>
      </c>
      <c r="F13" s="19">
        <f>COUNTIFS(Drucksachen!$C$2:$C$293,$A13,Drucksachen!$F$2:$F$293,F$3)</f>
        <v/>
      </c>
      <c r="G13" s="19">
        <f>COUNTIFS(Drucksachen!$C$2:$C$293,$A13,Drucksachen!$F$2:$F$293,"Bundesregierung")</f>
        <v/>
      </c>
      <c r="H13" s="19">
        <f>COUNTIFS(Drucksachen!$C$2:$C$293,$A13,Drucksachen!$G$2:$G$293,"Ausschuss")</f>
        <v/>
      </c>
      <c r="I13" s="19">
        <f>COUNTIFS(Drucksachen!$C$2:$C$293,$A13)</f>
        <v/>
      </c>
    </row>
    <row r="14">
      <c r="A14" s="19" t="inlineStr">
        <is>
          <t>2024-Q2</t>
        </is>
      </c>
      <c r="B14" s="19">
        <f>COUNTIFS(Drucksachen!$C$2:$C$293,$A14,Drucksachen!$F$2:$F$293,B$3)</f>
        <v/>
      </c>
      <c r="C14" s="19">
        <f>COUNTIFS(Drucksachen!$C$2:$C$293,$A14,Drucksachen!$F$2:$F$293,C$3)</f>
        <v/>
      </c>
      <c r="D14" s="19">
        <f>COUNTIFS(Drucksachen!$C$2:$C$293,$A14,Drucksachen!$F$2:$F$293,D$3)</f>
        <v/>
      </c>
      <c r="E14" s="19">
        <f>COUNTIFS(Drucksachen!$C$2:$C$293,$A14,Drucksachen!$F$2:$F$293,E$3)</f>
        <v/>
      </c>
      <c r="F14" s="19">
        <f>COUNTIFS(Drucksachen!$C$2:$C$293,$A14,Drucksachen!$F$2:$F$293,F$3)</f>
        <v/>
      </c>
      <c r="G14" s="19">
        <f>COUNTIFS(Drucksachen!$C$2:$C$293,$A14,Drucksachen!$F$2:$F$293,"Bundesregierung")</f>
        <v/>
      </c>
      <c r="H14" s="19">
        <f>COUNTIFS(Drucksachen!$C$2:$C$293,$A14,Drucksachen!$G$2:$G$293,"Ausschuss")</f>
        <v/>
      </c>
      <c r="I14" s="19">
        <f>COUNTIFS(Drucksachen!$C$2:$C$293,$A14)</f>
        <v/>
      </c>
    </row>
    <row r="15">
      <c r="A15" s="19" t="inlineStr">
        <is>
          <t>2024-Q3</t>
        </is>
      </c>
      <c r="B15" s="19">
        <f>COUNTIFS(Drucksachen!$C$2:$C$293,$A15,Drucksachen!$F$2:$F$293,B$3)</f>
        <v/>
      </c>
      <c r="C15" s="19">
        <f>COUNTIFS(Drucksachen!$C$2:$C$293,$A15,Drucksachen!$F$2:$F$293,C$3)</f>
        <v/>
      </c>
      <c r="D15" s="19">
        <f>COUNTIFS(Drucksachen!$C$2:$C$293,$A15,Drucksachen!$F$2:$F$293,D$3)</f>
        <v/>
      </c>
      <c r="E15" s="19">
        <f>COUNTIFS(Drucksachen!$C$2:$C$293,$A15,Drucksachen!$F$2:$F$293,E$3)</f>
        <v/>
      </c>
      <c r="F15" s="19">
        <f>COUNTIFS(Drucksachen!$C$2:$C$293,$A15,Drucksachen!$F$2:$F$293,F$3)</f>
        <v/>
      </c>
      <c r="G15" s="19">
        <f>COUNTIFS(Drucksachen!$C$2:$C$293,$A15,Drucksachen!$F$2:$F$293,"Bundesregierung")</f>
        <v/>
      </c>
      <c r="H15" s="19">
        <f>COUNTIFS(Drucksachen!$C$2:$C$293,$A15,Drucksachen!$G$2:$G$293,"Ausschuss")</f>
        <v/>
      </c>
      <c r="I15" s="19">
        <f>COUNTIFS(Drucksachen!$C$2:$C$293,$A15)</f>
        <v/>
      </c>
    </row>
    <row r="16">
      <c r="A16" s="19" t="inlineStr">
        <is>
          <t>2024-Q4</t>
        </is>
      </c>
      <c r="B16" s="19">
        <f>COUNTIFS(Drucksachen!$C$2:$C$293,$A16,Drucksachen!$F$2:$F$293,B$3)</f>
        <v/>
      </c>
      <c r="C16" s="19">
        <f>COUNTIFS(Drucksachen!$C$2:$C$293,$A16,Drucksachen!$F$2:$F$293,C$3)</f>
        <v/>
      </c>
      <c r="D16" s="19">
        <f>COUNTIFS(Drucksachen!$C$2:$C$293,$A16,Drucksachen!$F$2:$F$293,D$3)</f>
        <v/>
      </c>
      <c r="E16" s="19">
        <f>COUNTIFS(Drucksachen!$C$2:$C$293,$A16,Drucksachen!$F$2:$F$293,E$3)</f>
        <v/>
      </c>
      <c r="F16" s="19">
        <f>COUNTIFS(Drucksachen!$C$2:$C$293,$A16,Drucksachen!$F$2:$F$293,F$3)</f>
        <v/>
      </c>
      <c r="G16" s="19">
        <f>COUNTIFS(Drucksachen!$C$2:$C$293,$A16,Drucksachen!$F$2:$F$293,"Bundesregierung")</f>
        <v/>
      </c>
      <c r="H16" s="19">
        <f>COUNTIFS(Drucksachen!$C$2:$C$293,$A16,Drucksachen!$G$2:$G$293,"Ausschuss")</f>
        <v/>
      </c>
      <c r="I16" s="19">
        <f>COUNTIFS(Drucksachen!$C$2:$C$293,$A16)</f>
        <v/>
      </c>
    </row>
    <row r="17">
      <c r="A17" s="19" t="inlineStr">
        <is>
          <t>2025-Q1</t>
        </is>
      </c>
      <c r="B17" s="19">
        <f>COUNTIFS(Drucksachen!$C$2:$C$293,$A17,Drucksachen!$F$2:$F$293,B$3)</f>
        <v/>
      </c>
      <c r="C17" s="19">
        <f>COUNTIFS(Drucksachen!$C$2:$C$293,$A17,Drucksachen!$F$2:$F$293,C$3)</f>
        <v/>
      </c>
      <c r="D17" s="19">
        <f>COUNTIFS(Drucksachen!$C$2:$C$293,$A17,Drucksachen!$F$2:$F$293,D$3)</f>
        <v/>
      </c>
      <c r="E17" s="19">
        <f>COUNTIFS(Drucksachen!$C$2:$C$293,$A17,Drucksachen!$F$2:$F$293,E$3)</f>
        <v/>
      </c>
      <c r="F17" s="19">
        <f>COUNTIFS(Drucksachen!$C$2:$C$293,$A17,Drucksachen!$F$2:$F$293,F$3)</f>
        <v/>
      </c>
      <c r="G17" s="19">
        <f>COUNTIFS(Drucksachen!$C$2:$C$293,$A17,Drucksachen!$F$2:$F$293,"Bundesregierung")</f>
        <v/>
      </c>
      <c r="H17" s="19">
        <f>COUNTIFS(Drucksachen!$C$2:$C$293,$A17,Drucksachen!$G$2:$G$293,"Ausschuss")</f>
        <v/>
      </c>
      <c r="I17" s="19">
        <f>COUNTIFS(Drucksachen!$C$2:$C$293,$A17)</f>
        <v/>
      </c>
    </row>
    <row r="18">
      <c r="A18" s="19" t="inlineStr">
        <is>
          <t>2025-Q2</t>
        </is>
      </c>
      <c r="B18" s="19">
        <f>COUNTIFS(Drucksachen!$C$2:$C$293,$A18,Drucksachen!$F$2:$F$293,B$3)</f>
        <v/>
      </c>
      <c r="C18" s="19">
        <f>COUNTIFS(Drucksachen!$C$2:$C$293,$A18,Drucksachen!$F$2:$F$293,C$3)</f>
        <v/>
      </c>
      <c r="D18" s="19">
        <f>COUNTIFS(Drucksachen!$C$2:$C$293,$A18,Drucksachen!$F$2:$F$293,D$3)</f>
        <v/>
      </c>
      <c r="E18" s="19">
        <f>COUNTIFS(Drucksachen!$C$2:$C$293,$A18,Drucksachen!$F$2:$F$293,E$3)</f>
        <v/>
      </c>
      <c r="F18" s="19">
        <f>COUNTIFS(Drucksachen!$C$2:$C$293,$A18,Drucksachen!$F$2:$F$293,F$3)</f>
        <v/>
      </c>
      <c r="G18" s="19">
        <f>COUNTIFS(Drucksachen!$C$2:$C$293,$A18,Drucksachen!$F$2:$F$293,"Bundesregierung")</f>
        <v/>
      </c>
      <c r="H18" s="19">
        <f>COUNTIFS(Drucksachen!$C$2:$C$293,$A18,Drucksachen!$G$2:$G$293,"Ausschuss")</f>
        <v/>
      </c>
      <c r="I18" s="19">
        <f>COUNTIFS(Drucksachen!$C$2:$C$293,$A18)</f>
        <v/>
      </c>
    </row>
    <row r="19">
      <c r="A19" s="19" t="inlineStr">
        <is>
          <t>2025-Q3</t>
        </is>
      </c>
      <c r="B19" s="19">
        <f>COUNTIFS(Drucksachen!$C$2:$C$293,$A19,Drucksachen!$F$2:$F$293,B$3)</f>
        <v/>
      </c>
      <c r="C19" s="19">
        <f>COUNTIFS(Drucksachen!$C$2:$C$293,$A19,Drucksachen!$F$2:$F$293,C$3)</f>
        <v/>
      </c>
      <c r="D19" s="19">
        <f>COUNTIFS(Drucksachen!$C$2:$C$293,$A19,Drucksachen!$F$2:$F$293,D$3)</f>
        <v/>
      </c>
      <c r="E19" s="19">
        <f>COUNTIFS(Drucksachen!$C$2:$C$293,$A19,Drucksachen!$F$2:$F$293,E$3)</f>
        <v/>
      </c>
      <c r="F19" s="19">
        <f>COUNTIFS(Drucksachen!$C$2:$C$293,$A19,Drucksachen!$F$2:$F$293,F$3)</f>
        <v/>
      </c>
      <c r="G19" s="19">
        <f>COUNTIFS(Drucksachen!$C$2:$C$293,$A19,Drucksachen!$F$2:$F$293,"Bundesregierung")</f>
        <v/>
      </c>
      <c r="H19" s="19">
        <f>COUNTIFS(Drucksachen!$C$2:$C$293,$A19,Drucksachen!$G$2:$G$293,"Ausschuss")</f>
        <v/>
      </c>
      <c r="I19" s="19">
        <f>COUNTIFS(Drucksachen!$C$2:$C$293,$A19)</f>
        <v/>
      </c>
    </row>
    <row r="20">
      <c r="A20" s="19" t="inlineStr">
        <is>
          <t>2025-Q4</t>
        </is>
      </c>
      <c r="B20" s="19">
        <f>COUNTIFS(Drucksachen!$C$2:$C$293,$A20,Drucksachen!$F$2:$F$293,B$3)</f>
        <v/>
      </c>
      <c r="C20" s="19">
        <f>COUNTIFS(Drucksachen!$C$2:$C$293,$A20,Drucksachen!$F$2:$F$293,C$3)</f>
        <v/>
      </c>
      <c r="D20" s="19">
        <f>COUNTIFS(Drucksachen!$C$2:$C$293,$A20,Drucksachen!$F$2:$F$293,D$3)</f>
        <v/>
      </c>
      <c r="E20" s="19">
        <f>COUNTIFS(Drucksachen!$C$2:$C$293,$A20,Drucksachen!$F$2:$F$293,E$3)</f>
        <v/>
      </c>
      <c r="F20" s="19">
        <f>COUNTIFS(Drucksachen!$C$2:$C$293,$A20,Drucksachen!$F$2:$F$293,F$3)</f>
        <v/>
      </c>
      <c r="G20" s="19">
        <f>COUNTIFS(Drucksachen!$C$2:$C$293,$A20,Drucksachen!$F$2:$F$293,"Bundesregierung")</f>
        <v/>
      </c>
      <c r="H20" s="19">
        <f>COUNTIFS(Drucksachen!$C$2:$C$293,$A20,Drucksachen!$G$2:$G$293,"Ausschuss")</f>
        <v/>
      </c>
      <c r="I20" s="19">
        <f>COUNTIFS(Drucksachen!$C$2:$C$293,$A20)</f>
        <v/>
      </c>
    </row>
    <row r="21">
      <c r="A21" s="19" t="inlineStr">
        <is>
          <t>2026-Q1</t>
        </is>
      </c>
      <c r="B21" s="19">
        <f>COUNTIFS(Drucksachen!$C$2:$C$293,$A21,Drucksachen!$F$2:$F$293,B$3)</f>
        <v/>
      </c>
      <c r="C21" s="19">
        <f>COUNTIFS(Drucksachen!$C$2:$C$293,$A21,Drucksachen!$F$2:$F$293,C$3)</f>
        <v/>
      </c>
      <c r="D21" s="19">
        <f>COUNTIFS(Drucksachen!$C$2:$C$293,$A21,Drucksachen!$F$2:$F$293,D$3)</f>
        <v/>
      </c>
      <c r="E21" s="19">
        <f>COUNTIFS(Drucksachen!$C$2:$C$293,$A21,Drucksachen!$F$2:$F$293,E$3)</f>
        <v/>
      </c>
      <c r="F21" s="19">
        <f>COUNTIFS(Drucksachen!$C$2:$C$293,$A21,Drucksachen!$F$2:$F$293,F$3)</f>
        <v/>
      </c>
      <c r="G21" s="19">
        <f>COUNTIFS(Drucksachen!$C$2:$C$293,$A21,Drucksachen!$F$2:$F$293,"Bundesregierung")</f>
        <v/>
      </c>
      <c r="H21" s="19">
        <f>COUNTIFS(Drucksachen!$C$2:$C$293,$A21,Drucksachen!$G$2:$G$293,"Ausschuss")</f>
        <v/>
      </c>
      <c r="I21" s="19">
        <f>COUNTIFS(Drucksachen!$C$2:$C$293,$A21)</f>
        <v/>
      </c>
    </row>
    <row r="22">
      <c r="A22" s="19" t="inlineStr">
        <is>
          <t>2026-Q2</t>
        </is>
      </c>
      <c r="B22" s="19">
        <f>COUNTIFS(Drucksachen!$C$2:$C$293,$A22,Drucksachen!$F$2:$F$293,B$3)</f>
        <v/>
      </c>
      <c r="C22" s="19">
        <f>COUNTIFS(Drucksachen!$C$2:$C$293,$A22,Drucksachen!$F$2:$F$293,C$3)</f>
        <v/>
      </c>
      <c r="D22" s="19">
        <f>COUNTIFS(Drucksachen!$C$2:$C$293,$A22,Drucksachen!$F$2:$F$293,D$3)</f>
        <v/>
      </c>
      <c r="E22" s="19">
        <f>COUNTIFS(Drucksachen!$C$2:$C$293,$A22,Drucksachen!$F$2:$F$293,E$3)</f>
        <v/>
      </c>
      <c r="F22" s="19">
        <f>COUNTIFS(Drucksachen!$C$2:$C$293,$A22,Drucksachen!$F$2:$F$293,F$3)</f>
        <v/>
      </c>
      <c r="G22" s="19">
        <f>COUNTIFS(Drucksachen!$C$2:$C$293,$A22,Drucksachen!$F$2:$F$293,"Bundesregierung")</f>
        <v/>
      </c>
      <c r="H22" s="19">
        <f>COUNTIFS(Drucksachen!$C$2:$C$293,$A22,Drucksachen!$G$2:$G$293,"Ausschuss")</f>
        <v/>
      </c>
      <c r="I22" s="19">
        <f>COUNTIFS(Drucksachen!$C$2:$C$293,$A22)</f>
        <v/>
      </c>
    </row>
    <row r="23">
      <c r="A23" s="19" t="inlineStr">
        <is>
          <t>2026-Q3</t>
        </is>
      </c>
      <c r="B23" s="19">
        <f>COUNTIFS(Drucksachen!$C$2:$C$293,$A23,Drucksachen!$F$2:$F$293,B$3)</f>
        <v/>
      </c>
      <c r="C23" s="19">
        <f>COUNTIFS(Drucksachen!$C$2:$C$293,$A23,Drucksachen!$F$2:$F$293,C$3)</f>
        <v/>
      </c>
      <c r="D23" s="19">
        <f>COUNTIFS(Drucksachen!$C$2:$C$293,$A23,Drucksachen!$F$2:$F$293,D$3)</f>
        <v/>
      </c>
      <c r="E23" s="19">
        <f>COUNTIFS(Drucksachen!$C$2:$C$293,$A23,Drucksachen!$F$2:$F$293,E$3)</f>
        <v/>
      </c>
      <c r="F23" s="19">
        <f>COUNTIFS(Drucksachen!$C$2:$C$293,$A23,Drucksachen!$F$2:$F$293,F$3)</f>
        <v/>
      </c>
      <c r="G23" s="19">
        <f>COUNTIFS(Drucksachen!$C$2:$C$293,$A23,Drucksachen!$F$2:$F$293,"Bundesregierung")</f>
        <v/>
      </c>
      <c r="H23" s="19">
        <f>COUNTIFS(Drucksachen!$C$2:$C$293,$A23,Drucksachen!$G$2:$G$293,"Ausschuss")</f>
        <v/>
      </c>
      <c r="I23" s="19">
        <f>COUNTIFS(Drucksachen!$C$2:$C$293,$A23)</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 width="15" customWidth="1" min="7" max="7"/>
    <col width="20" customWidth="1" min="8" max="8"/>
    <col width="13" customWidth="1" min="9" max="9"/>
    <col hidden="1" width="13" customWidth="1" min="11" max="11"/>
  </cols>
  <sheetData>
    <row r="1">
      <c r="A1" s="17" t="inlineStr">
        <is>
          <t>Themen im Zeitverlauf</t>
        </is>
      </c>
    </row>
    <row r="2">
      <c r="A2" s="18" t="inlineStr">
        <is>
          <t>Mehrfachnennung moeglich: eine Drucksache kann mehreren Themen zugeordnet sein, die Spaltensummen uebersteigen daher die Zahl der Drucksachen.</t>
        </is>
      </c>
    </row>
    <row r="4" ht="28" customHeight="1">
      <c r="A4" s="11" t="inlineStr">
        <is>
          <t>Thema</t>
        </is>
      </c>
      <c r="B4" s="11" t="n">
        <v>2021</v>
      </c>
      <c r="C4" s="11" t="n">
        <v>2022</v>
      </c>
      <c r="D4" s="11" t="n">
        <v>2023</v>
      </c>
      <c r="E4" s="11" t="n">
        <v>2024</v>
      </c>
      <c r="F4" s="11" t="n">
        <v>2025</v>
      </c>
      <c r="G4" s="11" t="n">
        <v>2026</v>
      </c>
      <c r="H4" s="11" t="inlineStr">
        <is>
          <t>Gesamt</t>
        </is>
      </c>
      <c r="I4" s="11" t="inlineStr">
        <is>
          <t>davon Opposition</t>
        </is>
      </c>
      <c r="K4" s="22" t="inlineStr">
        <is>
          <t>Hilfsbereich Initiativtypen</t>
        </is>
      </c>
    </row>
    <row r="5">
      <c r="A5" s="19" t="inlineStr">
        <is>
          <t>Bahnhoefe</t>
        </is>
      </c>
      <c r="B5" s="19">
        <f>SUMPRODUCT(ISNUMBER(SEARCH($A5,Drucksachen!$I$2:$I$293))*(Drucksachen!$B$2:$B$293=B$4))</f>
        <v/>
      </c>
      <c r="C5" s="19">
        <f>SUMPRODUCT(ISNUMBER(SEARCH($A5,Drucksachen!$I$2:$I$293))*(Drucksachen!$B$2:$B$293=C$4))</f>
        <v/>
      </c>
      <c r="D5" s="19">
        <f>SUMPRODUCT(ISNUMBER(SEARCH($A5,Drucksachen!$I$2:$I$293))*(Drucksachen!$B$2:$B$293=D$4))</f>
        <v/>
      </c>
      <c r="E5" s="19">
        <f>SUMPRODUCT(ISNUMBER(SEARCH($A5,Drucksachen!$I$2:$I$293))*(Drucksachen!$B$2:$B$293=E$4))</f>
        <v/>
      </c>
      <c r="F5" s="19">
        <f>SUMPRODUCT(ISNUMBER(SEARCH($A5,Drucksachen!$I$2:$I$293))*(Drucksachen!$B$2:$B$293=F$4))</f>
        <v/>
      </c>
      <c r="G5" s="19">
        <f>SUMPRODUCT(ISNUMBER(SEARCH($A5,Drucksachen!$I$2:$I$293))*(Drucksachen!$B$2:$B$293=G$4))</f>
        <v/>
      </c>
      <c r="H5" s="19">
        <f>SUM(B5:G5)</f>
        <v/>
      </c>
      <c r="I5" s="19">
        <f>SUMPRODUCT(ISNUMBER(SEARCH($A5,Drucksachen!$I$2:$I$293))*(Drucksachen!$G$2:$G$293="Opposition"))</f>
        <v/>
      </c>
      <c r="K5" s="23" t="inlineStr">
        <is>
          <t>Kleine Anfrage</t>
        </is>
      </c>
    </row>
    <row r="6">
      <c r="A6" s="19" t="inlineStr">
        <is>
          <t>Kriminalitaet</t>
        </is>
      </c>
      <c r="B6" s="19">
        <f>SUMPRODUCT(ISNUMBER(SEARCH($A6,Drucksachen!$I$2:$I$293))*(Drucksachen!$B$2:$B$293=B$4))</f>
        <v/>
      </c>
      <c r="C6" s="19">
        <f>SUMPRODUCT(ISNUMBER(SEARCH($A6,Drucksachen!$I$2:$I$293))*(Drucksachen!$B$2:$B$293=C$4))</f>
        <v/>
      </c>
      <c r="D6" s="19">
        <f>SUMPRODUCT(ISNUMBER(SEARCH($A6,Drucksachen!$I$2:$I$293))*(Drucksachen!$B$2:$B$293=D$4))</f>
        <v/>
      </c>
      <c r="E6" s="19">
        <f>SUMPRODUCT(ISNUMBER(SEARCH($A6,Drucksachen!$I$2:$I$293))*(Drucksachen!$B$2:$B$293=E$4))</f>
        <v/>
      </c>
      <c r="F6" s="19">
        <f>SUMPRODUCT(ISNUMBER(SEARCH($A6,Drucksachen!$I$2:$I$293))*(Drucksachen!$B$2:$B$293=F$4))</f>
        <v/>
      </c>
      <c r="G6" s="19">
        <f>SUMPRODUCT(ISNUMBER(SEARCH($A6,Drucksachen!$I$2:$I$293))*(Drucksachen!$B$2:$B$293=G$4))</f>
        <v/>
      </c>
      <c r="H6" s="19">
        <f>SUM(B6:G6)</f>
        <v/>
      </c>
      <c r="I6" s="19">
        <f>SUMPRODUCT(ISNUMBER(SEARCH($A6,Drucksachen!$I$2:$I$293))*(Drucksachen!$G$2:$G$293="Opposition"))</f>
        <v/>
      </c>
      <c r="K6" s="23" t="inlineStr">
        <is>
          <t>Antrag</t>
        </is>
      </c>
    </row>
    <row r="7">
      <c r="A7" s="19" t="inlineStr">
        <is>
          <t>Sonstiges</t>
        </is>
      </c>
      <c r="B7" s="19">
        <f>SUMPRODUCT(ISNUMBER(SEARCH($A7,Drucksachen!$I$2:$I$293))*(Drucksachen!$B$2:$B$293=B$4))</f>
        <v/>
      </c>
      <c r="C7" s="19">
        <f>SUMPRODUCT(ISNUMBER(SEARCH($A7,Drucksachen!$I$2:$I$293))*(Drucksachen!$B$2:$B$293=C$4))</f>
        <v/>
      </c>
      <c r="D7" s="19">
        <f>SUMPRODUCT(ISNUMBER(SEARCH($A7,Drucksachen!$I$2:$I$293))*(Drucksachen!$B$2:$B$293=D$4))</f>
        <v/>
      </c>
      <c r="E7" s="19">
        <f>SUMPRODUCT(ISNUMBER(SEARCH($A7,Drucksachen!$I$2:$I$293))*(Drucksachen!$B$2:$B$293=E$4))</f>
        <v/>
      </c>
      <c r="F7" s="19">
        <f>SUMPRODUCT(ISNUMBER(SEARCH($A7,Drucksachen!$I$2:$I$293))*(Drucksachen!$B$2:$B$293=F$4))</f>
        <v/>
      </c>
      <c r="G7" s="19">
        <f>SUMPRODUCT(ISNUMBER(SEARCH($A7,Drucksachen!$I$2:$I$293))*(Drucksachen!$B$2:$B$293=G$4))</f>
        <v/>
      </c>
      <c r="H7" s="19">
        <f>SUM(B7:G7)</f>
        <v/>
      </c>
      <c r="I7" s="19">
        <f>SUMPRODUCT(ISNUMBER(SEARCH($A7,Drucksachen!$I$2:$I$293))*(Drucksachen!$G$2:$G$293="Opposition"))</f>
        <v/>
      </c>
      <c r="K7" s="23" t="inlineStr">
        <is>
          <t>Entschließungsantrag</t>
        </is>
      </c>
    </row>
    <row r="8">
      <c r="A8" s="19" t="inlineStr">
        <is>
          <t>Infrastruktur/Netz</t>
        </is>
      </c>
      <c r="B8" s="19">
        <f>SUMPRODUCT(ISNUMBER(SEARCH($A8,Drucksachen!$I$2:$I$293))*(Drucksachen!$B$2:$B$293=B$4))</f>
        <v/>
      </c>
      <c r="C8" s="19">
        <f>SUMPRODUCT(ISNUMBER(SEARCH($A8,Drucksachen!$I$2:$I$293))*(Drucksachen!$B$2:$B$293=C$4))</f>
        <v/>
      </c>
      <c r="D8" s="19">
        <f>SUMPRODUCT(ISNUMBER(SEARCH($A8,Drucksachen!$I$2:$I$293))*(Drucksachen!$B$2:$B$293=D$4))</f>
        <v/>
      </c>
      <c r="E8" s="19">
        <f>SUMPRODUCT(ISNUMBER(SEARCH($A8,Drucksachen!$I$2:$I$293))*(Drucksachen!$B$2:$B$293=E$4))</f>
        <v/>
      </c>
      <c r="F8" s="19">
        <f>SUMPRODUCT(ISNUMBER(SEARCH($A8,Drucksachen!$I$2:$I$293))*(Drucksachen!$B$2:$B$293=F$4))</f>
        <v/>
      </c>
      <c r="G8" s="19">
        <f>SUMPRODUCT(ISNUMBER(SEARCH($A8,Drucksachen!$I$2:$I$293))*(Drucksachen!$B$2:$B$293=G$4))</f>
        <v/>
      </c>
      <c r="H8" s="19">
        <f>SUM(B8:G8)</f>
        <v/>
      </c>
      <c r="I8" s="19">
        <f>SUMPRODUCT(ISNUMBER(SEARCH($A8,Drucksachen!$I$2:$I$293))*(Drucksachen!$G$2:$G$293="Opposition"))</f>
        <v/>
      </c>
      <c r="K8" s="23" t="inlineStr">
        <is>
          <t>Gesetzentwurf</t>
        </is>
      </c>
    </row>
    <row r="9">
      <c r="A9" s="19" t="inlineStr">
        <is>
          <t>Konzernstruktur/DB AG</t>
        </is>
      </c>
      <c r="B9" s="19">
        <f>SUMPRODUCT(ISNUMBER(SEARCH($A9,Drucksachen!$I$2:$I$293))*(Drucksachen!$B$2:$B$293=B$4))</f>
        <v/>
      </c>
      <c r="C9" s="19">
        <f>SUMPRODUCT(ISNUMBER(SEARCH($A9,Drucksachen!$I$2:$I$293))*(Drucksachen!$B$2:$B$293=C$4))</f>
        <v/>
      </c>
      <c r="D9" s="19">
        <f>SUMPRODUCT(ISNUMBER(SEARCH($A9,Drucksachen!$I$2:$I$293))*(Drucksachen!$B$2:$B$293=D$4))</f>
        <v/>
      </c>
      <c r="E9" s="19">
        <f>SUMPRODUCT(ISNUMBER(SEARCH($A9,Drucksachen!$I$2:$I$293))*(Drucksachen!$B$2:$B$293=E$4))</f>
        <v/>
      </c>
      <c r="F9" s="19">
        <f>SUMPRODUCT(ISNUMBER(SEARCH($A9,Drucksachen!$I$2:$I$293))*(Drucksachen!$B$2:$B$293=F$4))</f>
        <v/>
      </c>
      <c r="G9" s="19">
        <f>SUMPRODUCT(ISNUMBER(SEARCH($A9,Drucksachen!$I$2:$I$293))*(Drucksachen!$B$2:$B$293=G$4))</f>
        <v/>
      </c>
      <c r="H9" s="19">
        <f>SUM(B9:G9)</f>
        <v/>
      </c>
      <c r="I9" s="19">
        <f>SUMPRODUCT(ISNUMBER(SEARCH($A9,Drucksachen!$I$2:$I$293))*(Drucksachen!$G$2:$G$293="Opposition"))</f>
        <v/>
      </c>
    </row>
    <row r="10">
      <c r="A10" s="19" t="inlineStr">
        <is>
          <t>Sicherheit</t>
        </is>
      </c>
      <c r="B10" s="19">
        <f>SUMPRODUCT(ISNUMBER(SEARCH($A10,Drucksachen!$I$2:$I$293))*(Drucksachen!$B$2:$B$293=B$4))</f>
        <v/>
      </c>
      <c r="C10" s="19">
        <f>SUMPRODUCT(ISNUMBER(SEARCH($A10,Drucksachen!$I$2:$I$293))*(Drucksachen!$B$2:$B$293=C$4))</f>
        <v/>
      </c>
      <c r="D10" s="19">
        <f>SUMPRODUCT(ISNUMBER(SEARCH($A10,Drucksachen!$I$2:$I$293))*(Drucksachen!$B$2:$B$293=D$4))</f>
        <v/>
      </c>
      <c r="E10" s="19">
        <f>SUMPRODUCT(ISNUMBER(SEARCH($A10,Drucksachen!$I$2:$I$293))*(Drucksachen!$B$2:$B$293=E$4))</f>
        <v/>
      </c>
      <c r="F10" s="19">
        <f>SUMPRODUCT(ISNUMBER(SEARCH($A10,Drucksachen!$I$2:$I$293))*(Drucksachen!$B$2:$B$293=F$4))</f>
        <v/>
      </c>
      <c r="G10" s="19">
        <f>SUMPRODUCT(ISNUMBER(SEARCH($A10,Drucksachen!$I$2:$I$293))*(Drucksachen!$B$2:$B$293=G$4))</f>
        <v/>
      </c>
      <c r="H10" s="19">
        <f>SUM(B10:G10)</f>
        <v/>
      </c>
      <c r="I10" s="19">
        <f>SUMPRODUCT(ISNUMBER(SEARCH($A10,Drucksachen!$I$2:$I$293))*(Drucksachen!$G$2:$G$293="Opposition"))</f>
        <v/>
      </c>
    </row>
    <row r="11">
      <c r="A11" s="19" t="inlineStr">
        <is>
          <t>Finanzierung</t>
        </is>
      </c>
      <c r="B11" s="19">
        <f>SUMPRODUCT(ISNUMBER(SEARCH($A11,Drucksachen!$I$2:$I$293))*(Drucksachen!$B$2:$B$293=B$4))</f>
        <v/>
      </c>
      <c r="C11" s="19">
        <f>SUMPRODUCT(ISNUMBER(SEARCH($A11,Drucksachen!$I$2:$I$293))*(Drucksachen!$B$2:$B$293=C$4))</f>
        <v/>
      </c>
      <c r="D11" s="19">
        <f>SUMPRODUCT(ISNUMBER(SEARCH($A11,Drucksachen!$I$2:$I$293))*(Drucksachen!$B$2:$B$293=D$4))</f>
        <v/>
      </c>
      <c r="E11" s="19">
        <f>SUMPRODUCT(ISNUMBER(SEARCH($A11,Drucksachen!$I$2:$I$293))*(Drucksachen!$B$2:$B$293=E$4))</f>
        <v/>
      </c>
      <c r="F11" s="19">
        <f>SUMPRODUCT(ISNUMBER(SEARCH($A11,Drucksachen!$I$2:$I$293))*(Drucksachen!$B$2:$B$293=F$4))</f>
        <v/>
      </c>
      <c r="G11" s="19">
        <f>SUMPRODUCT(ISNUMBER(SEARCH($A11,Drucksachen!$I$2:$I$293))*(Drucksachen!$B$2:$B$293=G$4))</f>
        <v/>
      </c>
      <c r="H11" s="19">
        <f>SUM(B11:G11)</f>
        <v/>
      </c>
      <c r="I11" s="19">
        <f>SUMPRODUCT(ISNUMBER(SEARCH($A11,Drucksachen!$I$2:$I$293))*(Drucksachen!$G$2:$G$293="Opposition"))</f>
        <v/>
      </c>
    </row>
    <row r="12">
      <c r="A12" s="19" t="inlineStr">
        <is>
          <t>Puenktlichkeit/Qualitaet</t>
        </is>
      </c>
      <c r="B12" s="19">
        <f>SUMPRODUCT(ISNUMBER(SEARCH($A12,Drucksachen!$I$2:$I$293))*(Drucksachen!$B$2:$B$293=B$4))</f>
        <v/>
      </c>
      <c r="C12" s="19">
        <f>SUMPRODUCT(ISNUMBER(SEARCH($A12,Drucksachen!$I$2:$I$293))*(Drucksachen!$B$2:$B$293=C$4))</f>
        <v/>
      </c>
      <c r="D12" s="19">
        <f>SUMPRODUCT(ISNUMBER(SEARCH($A12,Drucksachen!$I$2:$I$293))*(Drucksachen!$B$2:$B$293=D$4))</f>
        <v/>
      </c>
      <c r="E12" s="19">
        <f>SUMPRODUCT(ISNUMBER(SEARCH($A12,Drucksachen!$I$2:$I$293))*(Drucksachen!$B$2:$B$293=E$4))</f>
        <v/>
      </c>
      <c r="F12" s="19">
        <f>SUMPRODUCT(ISNUMBER(SEARCH($A12,Drucksachen!$I$2:$I$293))*(Drucksachen!$B$2:$B$293=F$4))</f>
        <v/>
      </c>
      <c r="G12" s="19">
        <f>SUMPRODUCT(ISNUMBER(SEARCH($A12,Drucksachen!$I$2:$I$293))*(Drucksachen!$B$2:$B$293=G$4))</f>
        <v/>
      </c>
      <c r="H12" s="19">
        <f>SUM(B12:G12)</f>
        <v/>
      </c>
      <c r="I12" s="19">
        <f>SUMPRODUCT(ISNUMBER(SEARCH($A12,Drucksachen!$I$2:$I$293))*(Drucksachen!$G$2:$G$293="Opposition"))</f>
        <v/>
      </c>
    </row>
    <row r="13">
      <c r="A13" s="19" t="inlineStr">
        <is>
          <t>Barrierefreiheit</t>
        </is>
      </c>
      <c r="B13" s="19">
        <f>SUMPRODUCT(ISNUMBER(SEARCH($A13,Drucksachen!$I$2:$I$293))*(Drucksachen!$B$2:$B$293=B$4))</f>
        <v/>
      </c>
      <c r="C13" s="19">
        <f>SUMPRODUCT(ISNUMBER(SEARCH($A13,Drucksachen!$I$2:$I$293))*(Drucksachen!$B$2:$B$293=C$4))</f>
        <v/>
      </c>
      <c r="D13" s="19">
        <f>SUMPRODUCT(ISNUMBER(SEARCH($A13,Drucksachen!$I$2:$I$293))*(Drucksachen!$B$2:$B$293=D$4))</f>
        <v/>
      </c>
      <c r="E13" s="19">
        <f>SUMPRODUCT(ISNUMBER(SEARCH($A13,Drucksachen!$I$2:$I$293))*(Drucksachen!$B$2:$B$293=E$4))</f>
        <v/>
      </c>
      <c r="F13" s="19">
        <f>SUMPRODUCT(ISNUMBER(SEARCH($A13,Drucksachen!$I$2:$I$293))*(Drucksachen!$B$2:$B$293=F$4))</f>
        <v/>
      </c>
      <c r="G13" s="19">
        <f>SUMPRODUCT(ISNUMBER(SEARCH($A13,Drucksachen!$I$2:$I$293))*(Drucksachen!$B$2:$B$293=G$4))</f>
        <v/>
      </c>
      <c r="H13" s="19">
        <f>SUM(B13:G13)</f>
        <v/>
      </c>
      <c r="I13" s="19">
        <f>SUMPRODUCT(ISNUMBER(SEARCH($A13,Drucksachen!$I$2:$I$293))*(Drucksachen!$G$2:$G$293="Opposition"))</f>
        <v/>
      </c>
    </row>
    <row r="14">
      <c r="A14" s="19" t="inlineStr">
        <is>
          <t>Deutschlandticket</t>
        </is>
      </c>
      <c r="B14" s="19">
        <f>SUMPRODUCT(ISNUMBER(SEARCH($A14,Drucksachen!$I$2:$I$293))*(Drucksachen!$B$2:$B$293=B$4))</f>
        <v/>
      </c>
      <c r="C14" s="19">
        <f>SUMPRODUCT(ISNUMBER(SEARCH($A14,Drucksachen!$I$2:$I$293))*(Drucksachen!$B$2:$B$293=C$4))</f>
        <v/>
      </c>
      <c r="D14" s="19">
        <f>SUMPRODUCT(ISNUMBER(SEARCH($A14,Drucksachen!$I$2:$I$293))*(Drucksachen!$B$2:$B$293=D$4))</f>
        <v/>
      </c>
      <c r="E14" s="19">
        <f>SUMPRODUCT(ISNUMBER(SEARCH($A14,Drucksachen!$I$2:$I$293))*(Drucksachen!$B$2:$B$293=E$4))</f>
        <v/>
      </c>
      <c r="F14" s="19">
        <f>SUMPRODUCT(ISNUMBER(SEARCH($A14,Drucksachen!$I$2:$I$293))*(Drucksachen!$B$2:$B$293=F$4))</f>
        <v/>
      </c>
      <c r="G14" s="19">
        <f>SUMPRODUCT(ISNUMBER(SEARCH($A14,Drucksachen!$I$2:$I$293))*(Drucksachen!$B$2:$B$293=G$4))</f>
        <v/>
      </c>
      <c r="H14" s="19">
        <f>SUM(B14:G14)</f>
        <v/>
      </c>
      <c r="I14" s="19">
        <f>SUMPRODUCT(ISNUMBER(SEARCH($A14,Drucksachen!$I$2:$I$293))*(Drucksachen!$G$2:$G$293="Opposition"))</f>
        <v/>
      </c>
    </row>
    <row r="15">
      <c r="A15" s="19" t="inlineStr">
        <is>
          <t>Nahverkehr/SPNV</t>
        </is>
      </c>
      <c r="B15" s="19">
        <f>SUMPRODUCT(ISNUMBER(SEARCH($A15,Drucksachen!$I$2:$I$293))*(Drucksachen!$B$2:$B$293=B$4))</f>
        <v/>
      </c>
      <c r="C15" s="19">
        <f>SUMPRODUCT(ISNUMBER(SEARCH($A15,Drucksachen!$I$2:$I$293))*(Drucksachen!$B$2:$B$293=C$4))</f>
        <v/>
      </c>
      <c r="D15" s="19">
        <f>SUMPRODUCT(ISNUMBER(SEARCH($A15,Drucksachen!$I$2:$I$293))*(Drucksachen!$B$2:$B$293=D$4))</f>
        <v/>
      </c>
      <c r="E15" s="19">
        <f>SUMPRODUCT(ISNUMBER(SEARCH($A15,Drucksachen!$I$2:$I$293))*(Drucksachen!$B$2:$B$293=E$4))</f>
        <v/>
      </c>
      <c r="F15" s="19">
        <f>SUMPRODUCT(ISNUMBER(SEARCH($A15,Drucksachen!$I$2:$I$293))*(Drucksachen!$B$2:$B$293=F$4))</f>
        <v/>
      </c>
      <c r="G15" s="19">
        <f>SUMPRODUCT(ISNUMBER(SEARCH($A15,Drucksachen!$I$2:$I$293))*(Drucksachen!$B$2:$B$293=G$4))</f>
        <v/>
      </c>
      <c r="H15" s="19">
        <f>SUM(B15:G15)</f>
        <v/>
      </c>
      <c r="I15" s="19">
        <f>SUMPRODUCT(ISNUMBER(SEARCH($A15,Drucksachen!$I$2:$I$293))*(Drucksachen!$G$2:$G$293="Opposition"))</f>
        <v/>
      </c>
    </row>
    <row r="16">
      <c r="A16" s="19" t="inlineStr">
        <is>
          <t>Deutschlandtakt/Fahrplan</t>
        </is>
      </c>
      <c r="B16" s="19">
        <f>SUMPRODUCT(ISNUMBER(SEARCH($A16,Drucksachen!$I$2:$I$293))*(Drucksachen!$B$2:$B$293=B$4))</f>
        <v/>
      </c>
      <c r="C16" s="19">
        <f>SUMPRODUCT(ISNUMBER(SEARCH($A16,Drucksachen!$I$2:$I$293))*(Drucksachen!$B$2:$B$293=C$4))</f>
        <v/>
      </c>
      <c r="D16" s="19">
        <f>SUMPRODUCT(ISNUMBER(SEARCH($A16,Drucksachen!$I$2:$I$293))*(Drucksachen!$B$2:$B$293=D$4))</f>
        <v/>
      </c>
      <c r="E16" s="19">
        <f>SUMPRODUCT(ISNUMBER(SEARCH($A16,Drucksachen!$I$2:$I$293))*(Drucksachen!$B$2:$B$293=E$4))</f>
        <v/>
      </c>
      <c r="F16" s="19">
        <f>SUMPRODUCT(ISNUMBER(SEARCH($A16,Drucksachen!$I$2:$I$293))*(Drucksachen!$B$2:$B$293=F$4))</f>
        <v/>
      </c>
      <c r="G16" s="19">
        <f>SUMPRODUCT(ISNUMBER(SEARCH($A16,Drucksachen!$I$2:$I$293))*(Drucksachen!$B$2:$B$293=G$4))</f>
        <v/>
      </c>
      <c r="H16" s="19">
        <f>SUM(B16:G16)</f>
        <v/>
      </c>
      <c r="I16" s="19">
        <f>SUMPRODUCT(ISNUMBER(SEARCH($A16,Drucksachen!$I$2:$I$293))*(Drucksachen!$G$2:$G$293="Opposition"))</f>
        <v/>
      </c>
    </row>
    <row r="17">
      <c r="A17" s="19" t="inlineStr">
        <is>
          <t>Personal</t>
        </is>
      </c>
      <c r="B17" s="19">
        <f>SUMPRODUCT(ISNUMBER(SEARCH($A17,Drucksachen!$I$2:$I$293))*(Drucksachen!$B$2:$B$293=B$4))</f>
        <v/>
      </c>
      <c r="C17" s="19">
        <f>SUMPRODUCT(ISNUMBER(SEARCH($A17,Drucksachen!$I$2:$I$293))*(Drucksachen!$B$2:$B$293=C$4))</f>
        <v/>
      </c>
      <c r="D17" s="19">
        <f>SUMPRODUCT(ISNUMBER(SEARCH($A17,Drucksachen!$I$2:$I$293))*(Drucksachen!$B$2:$B$293=D$4))</f>
        <v/>
      </c>
      <c r="E17" s="19">
        <f>SUMPRODUCT(ISNUMBER(SEARCH($A17,Drucksachen!$I$2:$I$293))*(Drucksachen!$B$2:$B$293=E$4))</f>
        <v/>
      </c>
      <c r="F17" s="19">
        <f>SUMPRODUCT(ISNUMBER(SEARCH($A17,Drucksachen!$I$2:$I$293))*(Drucksachen!$B$2:$B$293=F$4))</f>
        <v/>
      </c>
      <c r="G17" s="19">
        <f>SUMPRODUCT(ISNUMBER(SEARCH($A17,Drucksachen!$I$2:$I$293))*(Drucksachen!$B$2:$B$293=G$4))</f>
        <v/>
      </c>
      <c r="H17" s="19">
        <f>SUM(B17:G17)</f>
        <v/>
      </c>
      <c r="I17" s="19">
        <f>SUMPRODUCT(ISNUMBER(SEARCH($A17,Drucksachen!$I$2:$I$293))*(Drucksachen!$G$2:$G$293="Opposition"))</f>
        <v/>
      </c>
    </row>
    <row r="18">
      <c r="A18" s="19" t="inlineStr">
        <is>
          <t>Gueterverkehr</t>
        </is>
      </c>
      <c r="B18" s="19">
        <f>SUMPRODUCT(ISNUMBER(SEARCH($A18,Drucksachen!$I$2:$I$293))*(Drucksachen!$B$2:$B$293=B$4))</f>
        <v/>
      </c>
      <c r="C18" s="19">
        <f>SUMPRODUCT(ISNUMBER(SEARCH($A18,Drucksachen!$I$2:$I$293))*(Drucksachen!$B$2:$B$293=C$4))</f>
        <v/>
      </c>
      <c r="D18" s="19">
        <f>SUMPRODUCT(ISNUMBER(SEARCH($A18,Drucksachen!$I$2:$I$293))*(Drucksachen!$B$2:$B$293=D$4))</f>
        <v/>
      </c>
      <c r="E18" s="19">
        <f>SUMPRODUCT(ISNUMBER(SEARCH($A18,Drucksachen!$I$2:$I$293))*(Drucksachen!$B$2:$B$293=E$4))</f>
        <v/>
      </c>
      <c r="F18" s="19">
        <f>SUMPRODUCT(ISNUMBER(SEARCH($A18,Drucksachen!$I$2:$I$293))*(Drucksachen!$B$2:$B$293=F$4))</f>
        <v/>
      </c>
      <c r="G18" s="19">
        <f>SUMPRODUCT(ISNUMBER(SEARCH($A18,Drucksachen!$I$2:$I$293))*(Drucksachen!$B$2:$B$293=G$4))</f>
        <v/>
      </c>
      <c r="H18" s="19">
        <f>SUM(B18:G18)</f>
        <v/>
      </c>
      <c r="I18" s="19">
        <f>SUMPRODUCT(ISNUMBER(SEARCH($A18,Drucksachen!$I$2:$I$293))*(Drucksachen!$G$2:$G$293="Opposition"))</f>
        <v/>
      </c>
    </row>
    <row r="21">
      <c r="A21" s="17" t="inlineStr">
        <is>
          <t>Welche Fraktion bringt welches Thema ein</t>
        </is>
      </c>
    </row>
    <row r="22" ht="28" customHeight="1">
      <c r="A22" s="18" t="inlineStr">
        <is>
          <t>Nur eigene Initiativen: Kleine Anfrage, Antrag, Entschließungsantrag, Gesetzentwurf. Antworten der Bundesregierung und Beschlussempfehlungen der Ausschuesse bleiben aussen vor, sie haben keinen politischen Urheber. Mehrfachnennung moeglich, eine Drucksache kann mehrere Themen tragen. Die Spalte Schwerpunkt nennt bei Gleichstand die in der Kopfzeile zuerst stehende Fraktion.</t>
        </is>
      </c>
    </row>
    <row r="24" ht="28" customHeight="1">
      <c r="A24" s="11" t="inlineStr">
        <is>
          <t>Thema</t>
        </is>
      </c>
      <c r="B24" s="11" t="inlineStr">
        <is>
          <t>CDU/CSU</t>
        </is>
      </c>
      <c r="C24" s="11" t="inlineStr">
        <is>
          <t>Gruene</t>
        </is>
      </c>
      <c r="D24" s="11" t="inlineStr">
        <is>
          <t>AfD</t>
        </is>
      </c>
      <c r="E24" s="11" t="inlineStr">
        <is>
          <t>Linke</t>
        </is>
      </c>
      <c r="F24" s="11" t="inlineStr">
        <is>
          <t>Mehrere Fraktionen</t>
        </is>
      </c>
      <c r="G24" s="11" t="inlineStr">
        <is>
          <t>Initiativen gesamt</t>
        </is>
      </c>
      <c r="H24" s="11" t="inlineStr">
        <is>
          <t>Schwerpunkt bei</t>
        </is>
      </c>
    </row>
    <row r="25">
      <c r="A25" s="19" t="inlineStr">
        <is>
          <t>Bahnhoefe</t>
        </is>
      </c>
      <c r="B25" s="19">
        <f>SUMPRODUCT(ISNUMBER(SEARCH($A25,Drucksachen!$I$2:$I$293))*(Drucksachen!$F$2:$F$293=B$24)*(COUNTIF(Themen!$K$5:$K$8,Drucksachen!$E$2:$E$293)&gt;0))</f>
        <v/>
      </c>
      <c r="C25" s="19">
        <f>SUMPRODUCT(ISNUMBER(SEARCH($A25,Drucksachen!$I$2:$I$293))*(Drucksachen!$F$2:$F$293=C$24)*(COUNTIF(Themen!$K$5:$K$8,Drucksachen!$E$2:$E$293)&gt;0))</f>
        <v/>
      </c>
      <c r="D25" s="19">
        <f>SUMPRODUCT(ISNUMBER(SEARCH($A25,Drucksachen!$I$2:$I$293))*(Drucksachen!$F$2:$F$293=D$24)*(COUNTIF(Themen!$K$5:$K$8,Drucksachen!$E$2:$E$293)&gt;0))</f>
        <v/>
      </c>
      <c r="E25" s="19">
        <f>SUMPRODUCT(ISNUMBER(SEARCH($A25,Drucksachen!$I$2:$I$293))*(Drucksachen!$F$2:$F$293=E$24)*(COUNTIF(Themen!$K$5:$K$8,Drucksachen!$E$2:$E$293)&gt;0))</f>
        <v/>
      </c>
      <c r="F25" s="19">
        <f>SUMPRODUCT(ISNUMBER(SEARCH($A25,Drucksachen!$I$2:$I$293))*(Drucksachen!$F$2:$F$293=F$24)*(COUNTIF(Themen!$K$5:$K$8,Drucksachen!$E$2:$E$293)&gt;0))</f>
        <v/>
      </c>
      <c r="G25" s="19">
        <f>SUM(B25:F25)</f>
        <v/>
      </c>
      <c r="H25" s="19">
        <f>IF(G25=0,"",INDEX($B$24:$F$24,MATCH(MAX(B25:F25),B25:F25,0)))</f>
        <v/>
      </c>
      <c r="I25" s="19" t="n"/>
      <c r="J25" s="19" t="n"/>
      <c r="K25" s="19" t="n"/>
    </row>
    <row r="26">
      <c r="A26" s="19" t="inlineStr">
        <is>
          <t>Kriminalitaet</t>
        </is>
      </c>
      <c r="B26" s="19">
        <f>SUMPRODUCT(ISNUMBER(SEARCH($A26,Drucksachen!$I$2:$I$293))*(Drucksachen!$F$2:$F$293=B$24)*(COUNTIF(Themen!$K$5:$K$8,Drucksachen!$E$2:$E$293)&gt;0))</f>
        <v/>
      </c>
      <c r="C26" s="19">
        <f>SUMPRODUCT(ISNUMBER(SEARCH($A26,Drucksachen!$I$2:$I$293))*(Drucksachen!$F$2:$F$293=C$24)*(COUNTIF(Themen!$K$5:$K$8,Drucksachen!$E$2:$E$293)&gt;0))</f>
        <v/>
      </c>
      <c r="D26" s="19">
        <f>SUMPRODUCT(ISNUMBER(SEARCH($A26,Drucksachen!$I$2:$I$293))*(Drucksachen!$F$2:$F$293=D$24)*(COUNTIF(Themen!$K$5:$K$8,Drucksachen!$E$2:$E$293)&gt;0))</f>
        <v/>
      </c>
      <c r="E26" s="19">
        <f>SUMPRODUCT(ISNUMBER(SEARCH($A26,Drucksachen!$I$2:$I$293))*(Drucksachen!$F$2:$F$293=E$24)*(COUNTIF(Themen!$K$5:$K$8,Drucksachen!$E$2:$E$293)&gt;0))</f>
        <v/>
      </c>
      <c r="F26" s="19">
        <f>SUMPRODUCT(ISNUMBER(SEARCH($A26,Drucksachen!$I$2:$I$293))*(Drucksachen!$F$2:$F$293=F$24)*(COUNTIF(Themen!$K$5:$K$8,Drucksachen!$E$2:$E$293)&gt;0))</f>
        <v/>
      </c>
      <c r="G26" s="19">
        <f>SUM(B26:F26)</f>
        <v/>
      </c>
      <c r="H26" s="19">
        <f>IF(G26=0,"",INDEX($B$24:$F$24,MATCH(MAX(B26:F26),B26:F26,0)))</f>
        <v/>
      </c>
      <c r="I26" s="19" t="n"/>
      <c r="J26" s="19" t="n"/>
      <c r="K26" s="19" t="n"/>
    </row>
    <row r="27">
      <c r="A27" s="19" t="inlineStr">
        <is>
          <t>Sonstiges</t>
        </is>
      </c>
      <c r="B27" s="19">
        <f>SUMPRODUCT(ISNUMBER(SEARCH($A27,Drucksachen!$I$2:$I$293))*(Drucksachen!$F$2:$F$293=B$24)*(COUNTIF(Themen!$K$5:$K$8,Drucksachen!$E$2:$E$293)&gt;0))</f>
        <v/>
      </c>
      <c r="C27" s="19">
        <f>SUMPRODUCT(ISNUMBER(SEARCH($A27,Drucksachen!$I$2:$I$293))*(Drucksachen!$F$2:$F$293=C$24)*(COUNTIF(Themen!$K$5:$K$8,Drucksachen!$E$2:$E$293)&gt;0))</f>
        <v/>
      </c>
      <c r="D27" s="19">
        <f>SUMPRODUCT(ISNUMBER(SEARCH($A27,Drucksachen!$I$2:$I$293))*(Drucksachen!$F$2:$F$293=D$24)*(COUNTIF(Themen!$K$5:$K$8,Drucksachen!$E$2:$E$293)&gt;0))</f>
        <v/>
      </c>
      <c r="E27" s="19">
        <f>SUMPRODUCT(ISNUMBER(SEARCH($A27,Drucksachen!$I$2:$I$293))*(Drucksachen!$F$2:$F$293=E$24)*(COUNTIF(Themen!$K$5:$K$8,Drucksachen!$E$2:$E$293)&gt;0))</f>
        <v/>
      </c>
      <c r="F27" s="19">
        <f>SUMPRODUCT(ISNUMBER(SEARCH($A27,Drucksachen!$I$2:$I$293))*(Drucksachen!$F$2:$F$293=F$24)*(COUNTIF(Themen!$K$5:$K$8,Drucksachen!$E$2:$E$293)&gt;0))</f>
        <v/>
      </c>
      <c r="G27" s="19">
        <f>SUM(B27:F27)</f>
        <v/>
      </c>
      <c r="H27" s="19">
        <f>IF(G27=0,"",INDEX($B$24:$F$24,MATCH(MAX(B27:F27),B27:F27,0)))</f>
        <v/>
      </c>
      <c r="I27" s="19" t="n"/>
      <c r="J27" s="19" t="n"/>
      <c r="K27" s="19" t="n"/>
    </row>
    <row r="28">
      <c r="A28" s="19" t="inlineStr">
        <is>
          <t>Infrastruktur/Netz</t>
        </is>
      </c>
      <c r="B28" s="19">
        <f>SUMPRODUCT(ISNUMBER(SEARCH($A28,Drucksachen!$I$2:$I$293))*(Drucksachen!$F$2:$F$293=B$24)*(COUNTIF(Themen!$K$5:$K$8,Drucksachen!$E$2:$E$293)&gt;0))</f>
        <v/>
      </c>
      <c r="C28" s="19">
        <f>SUMPRODUCT(ISNUMBER(SEARCH($A28,Drucksachen!$I$2:$I$293))*(Drucksachen!$F$2:$F$293=C$24)*(COUNTIF(Themen!$K$5:$K$8,Drucksachen!$E$2:$E$293)&gt;0))</f>
        <v/>
      </c>
      <c r="D28" s="19">
        <f>SUMPRODUCT(ISNUMBER(SEARCH($A28,Drucksachen!$I$2:$I$293))*(Drucksachen!$F$2:$F$293=D$24)*(COUNTIF(Themen!$K$5:$K$8,Drucksachen!$E$2:$E$293)&gt;0))</f>
        <v/>
      </c>
      <c r="E28" s="19">
        <f>SUMPRODUCT(ISNUMBER(SEARCH($A28,Drucksachen!$I$2:$I$293))*(Drucksachen!$F$2:$F$293=E$24)*(COUNTIF(Themen!$K$5:$K$8,Drucksachen!$E$2:$E$293)&gt;0))</f>
        <v/>
      </c>
      <c r="F28" s="19">
        <f>SUMPRODUCT(ISNUMBER(SEARCH($A28,Drucksachen!$I$2:$I$293))*(Drucksachen!$F$2:$F$293=F$24)*(COUNTIF(Themen!$K$5:$K$8,Drucksachen!$E$2:$E$293)&gt;0))</f>
        <v/>
      </c>
      <c r="G28" s="19">
        <f>SUM(B28:F28)</f>
        <v/>
      </c>
      <c r="H28" s="19">
        <f>IF(G28=0,"",INDEX($B$24:$F$24,MATCH(MAX(B28:F28),B28:F28,0)))</f>
        <v/>
      </c>
      <c r="I28" s="19" t="n"/>
      <c r="J28" s="19" t="n"/>
      <c r="K28" s="19" t="n"/>
    </row>
    <row r="29">
      <c r="A29" s="19" t="inlineStr">
        <is>
          <t>Konzernstruktur/DB AG</t>
        </is>
      </c>
      <c r="B29" s="19">
        <f>SUMPRODUCT(ISNUMBER(SEARCH($A29,Drucksachen!$I$2:$I$293))*(Drucksachen!$F$2:$F$293=B$24)*(COUNTIF(Themen!$K$5:$K$8,Drucksachen!$E$2:$E$293)&gt;0))</f>
        <v/>
      </c>
      <c r="C29" s="19">
        <f>SUMPRODUCT(ISNUMBER(SEARCH($A29,Drucksachen!$I$2:$I$293))*(Drucksachen!$F$2:$F$293=C$24)*(COUNTIF(Themen!$K$5:$K$8,Drucksachen!$E$2:$E$293)&gt;0))</f>
        <v/>
      </c>
      <c r="D29" s="19">
        <f>SUMPRODUCT(ISNUMBER(SEARCH($A29,Drucksachen!$I$2:$I$293))*(Drucksachen!$F$2:$F$293=D$24)*(COUNTIF(Themen!$K$5:$K$8,Drucksachen!$E$2:$E$293)&gt;0))</f>
        <v/>
      </c>
      <c r="E29" s="19">
        <f>SUMPRODUCT(ISNUMBER(SEARCH($A29,Drucksachen!$I$2:$I$293))*(Drucksachen!$F$2:$F$293=E$24)*(COUNTIF(Themen!$K$5:$K$8,Drucksachen!$E$2:$E$293)&gt;0))</f>
        <v/>
      </c>
      <c r="F29" s="19">
        <f>SUMPRODUCT(ISNUMBER(SEARCH($A29,Drucksachen!$I$2:$I$293))*(Drucksachen!$F$2:$F$293=F$24)*(COUNTIF(Themen!$K$5:$K$8,Drucksachen!$E$2:$E$293)&gt;0))</f>
        <v/>
      </c>
      <c r="G29" s="19">
        <f>SUM(B29:F29)</f>
        <v/>
      </c>
      <c r="H29" s="19">
        <f>IF(G29=0,"",INDEX($B$24:$F$24,MATCH(MAX(B29:F29),B29:F29,0)))</f>
        <v/>
      </c>
      <c r="I29" s="19" t="n"/>
      <c r="J29" s="19" t="n"/>
      <c r="K29" s="19" t="n"/>
    </row>
    <row r="30">
      <c r="A30" s="19" t="inlineStr">
        <is>
          <t>Sicherheit</t>
        </is>
      </c>
      <c r="B30" s="19">
        <f>SUMPRODUCT(ISNUMBER(SEARCH($A30,Drucksachen!$I$2:$I$293))*(Drucksachen!$F$2:$F$293=B$24)*(COUNTIF(Themen!$K$5:$K$8,Drucksachen!$E$2:$E$293)&gt;0))</f>
        <v/>
      </c>
      <c r="C30" s="19">
        <f>SUMPRODUCT(ISNUMBER(SEARCH($A30,Drucksachen!$I$2:$I$293))*(Drucksachen!$F$2:$F$293=C$24)*(COUNTIF(Themen!$K$5:$K$8,Drucksachen!$E$2:$E$293)&gt;0))</f>
        <v/>
      </c>
      <c r="D30" s="19">
        <f>SUMPRODUCT(ISNUMBER(SEARCH($A30,Drucksachen!$I$2:$I$293))*(Drucksachen!$F$2:$F$293=D$24)*(COUNTIF(Themen!$K$5:$K$8,Drucksachen!$E$2:$E$293)&gt;0))</f>
        <v/>
      </c>
      <c r="E30" s="19">
        <f>SUMPRODUCT(ISNUMBER(SEARCH($A30,Drucksachen!$I$2:$I$293))*(Drucksachen!$F$2:$F$293=E$24)*(COUNTIF(Themen!$K$5:$K$8,Drucksachen!$E$2:$E$293)&gt;0))</f>
        <v/>
      </c>
      <c r="F30" s="19">
        <f>SUMPRODUCT(ISNUMBER(SEARCH($A30,Drucksachen!$I$2:$I$293))*(Drucksachen!$F$2:$F$293=F$24)*(COUNTIF(Themen!$K$5:$K$8,Drucksachen!$E$2:$E$293)&gt;0))</f>
        <v/>
      </c>
      <c r="G30" s="19">
        <f>SUM(B30:F30)</f>
        <v/>
      </c>
      <c r="H30" s="19">
        <f>IF(G30=0,"",INDEX($B$24:$F$24,MATCH(MAX(B30:F30),B30:F30,0)))</f>
        <v/>
      </c>
      <c r="I30" s="19" t="n"/>
      <c r="J30" s="19" t="n"/>
      <c r="K30" s="19" t="n"/>
    </row>
    <row r="31">
      <c r="A31" s="19" t="inlineStr">
        <is>
          <t>Finanzierung</t>
        </is>
      </c>
      <c r="B31" s="19">
        <f>SUMPRODUCT(ISNUMBER(SEARCH($A31,Drucksachen!$I$2:$I$293))*(Drucksachen!$F$2:$F$293=B$24)*(COUNTIF(Themen!$K$5:$K$8,Drucksachen!$E$2:$E$293)&gt;0))</f>
        <v/>
      </c>
      <c r="C31" s="19">
        <f>SUMPRODUCT(ISNUMBER(SEARCH($A31,Drucksachen!$I$2:$I$293))*(Drucksachen!$F$2:$F$293=C$24)*(COUNTIF(Themen!$K$5:$K$8,Drucksachen!$E$2:$E$293)&gt;0))</f>
        <v/>
      </c>
      <c r="D31" s="19">
        <f>SUMPRODUCT(ISNUMBER(SEARCH($A31,Drucksachen!$I$2:$I$293))*(Drucksachen!$F$2:$F$293=D$24)*(COUNTIF(Themen!$K$5:$K$8,Drucksachen!$E$2:$E$293)&gt;0))</f>
        <v/>
      </c>
      <c r="E31" s="19">
        <f>SUMPRODUCT(ISNUMBER(SEARCH($A31,Drucksachen!$I$2:$I$293))*(Drucksachen!$F$2:$F$293=E$24)*(COUNTIF(Themen!$K$5:$K$8,Drucksachen!$E$2:$E$293)&gt;0))</f>
        <v/>
      </c>
      <c r="F31" s="19">
        <f>SUMPRODUCT(ISNUMBER(SEARCH($A31,Drucksachen!$I$2:$I$293))*(Drucksachen!$F$2:$F$293=F$24)*(COUNTIF(Themen!$K$5:$K$8,Drucksachen!$E$2:$E$293)&gt;0))</f>
        <v/>
      </c>
      <c r="G31" s="19">
        <f>SUM(B31:F31)</f>
        <v/>
      </c>
      <c r="H31" s="19">
        <f>IF(G31=0,"",INDEX($B$24:$F$24,MATCH(MAX(B31:F31),B31:F31,0)))</f>
        <v/>
      </c>
      <c r="I31" s="19" t="n"/>
      <c r="J31" s="19" t="n"/>
      <c r="K31" s="19" t="n"/>
    </row>
    <row r="32">
      <c r="A32" s="19" t="inlineStr">
        <is>
          <t>Puenktlichkeit/Qualitaet</t>
        </is>
      </c>
      <c r="B32" s="19">
        <f>SUMPRODUCT(ISNUMBER(SEARCH($A32,Drucksachen!$I$2:$I$293))*(Drucksachen!$F$2:$F$293=B$24)*(COUNTIF(Themen!$K$5:$K$8,Drucksachen!$E$2:$E$293)&gt;0))</f>
        <v/>
      </c>
      <c r="C32" s="19">
        <f>SUMPRODUCT(ISNUMBER(SEARCH($A32,Drucksachen!$I$2:$I$293))*(Drucksachen!$F$2:$F$293=C$24)*(COUNTIF(Themen!$K$5:$K$8,Drucksachen!$E$2:$E$293)&gt;0))</f>
        <v/>
      </c>
      <c r="D32" s="19">
        <f>SUMPRODUCT(ISNUMBER(SEARCH($A32,Drucksachen!$I$2:$I$293))*(Drucksachen!$F$2:$F$293=D$24)*(COUNTIF(Themen!$K$5:$K$8,Drucksachen!$E$2:$E$293)&gt;0))</f>
        <v/>
      </c>
      <c r="E32" s="19">
        <f>SUMPRODUCT(ISNUMBER(SEARCH($A32,Drucksachen!$I$2:$I$293))*(Drucksachen!$F$2:$F$293=E$24)*(COUNTIF(Themen!$K$5:$K$8,Drucksachen!$E$2:$E$293)&gt;0))</f>
        <v/>
      </c>
      <c r="F32" s="19">
        <f>SUMPRODUCT(ISNUMBER(SEARCH($A32,Drucksachen!$I$2:$I$293))*(Drucksachen!$F$2:$F$293=F$24)*(COUNTIF(Themen!$K$5:$K$8,Drucksachen!$E$2:$E$293)&gt;0))</f>
        <v/>
      </c>
      <c r="G32" s="19">
        <f>SUM(B32:F32)</f>
        <v/>
      </c>
      <c r="H32" s="19">
        <f>IF(G32=0,"",INDEX($B$24:$F$24,MATCH(MAX(B32:F32),B32:F32,0)))</f>
        <v/>
      </c>
      <c r="I32" s="19" t="n"/>
      <c r="J32" s="19" t="n"/>
      <c r="K32" s="19" t="n"/>
    </row>
    <row r="33">
      <c r="A33" s="19" t="inlineStr">
        <is>
          <t>Barrierefreiheit</t>
        </is>
      </c>
      <c r="B33" s="19">
        <f>SUMPRODUCT(ISNUMBER(SEARCH($A33,Drucksachen!$I$2:$I$293))*(Drucksachen!$F$2:$F$293=B$24)*(COUNTIF(Themen!$K$5:$K$8,Drucksachen!$E$2:$E$293)&gt;0))</f>
        <v/>
      </c>
      <c r="C33" s="19">
        <f>SUMPRODUCT(ISNUMBER(SEARCH($A33,Drucksachen!$I$2:$I$293))*(Drucksachen!$F$2:$F$293=C$24)*(COUNTIF(Themen!$K$5:$K$8,Drucksachen!$E$2:$E$293)&gt;0))</f>
        <v/>
      </c>
      <c r="D33" s="19">
        <f>SUMPRODUCT(ISNUMBER(SEARCH($A33,Drucksachen!$I$2:$I$293))*(Drucksachen!$F$2:$F$293=D$24)*(COUNTIF(Themen!$K$5:$K$8,Drucksachen!$E$2:$E$293)&gt;0))</f>
        <v/>
      </c>
      <c r="E33" s="19">
        <f>SUMPRODUCT(ISNUMBER(SEARCH($A33,Drucksachen!$I$2:$I$293))*(Drucksachen!$F$2:$F$293=E$24)*(COUNTIF(Themen!$K$5:$K$8,Drucksachen!$E$2:$E$293)&gt;0))</f>
        <v/>
      </c>
      <c r="F33" s="19">
        <f>SUMPRODUCT(ISNUMBER(SEARCH($A33,Drucksachen!$I$2:$I$293))*(Drucksachen!$F$2:$F$293=F$24)*(COUNTIF(Themen!$K$5:$K$8,Drucksachen!$E$2:$E$293)&gt;0))</f>
        <v/>
      </c>
      <c r="G33" s="19">
        <f>SUM(B33:F33)</f>
        <v/>
      </c>
      <c r="H33" s="19">
        <f>IF(G33=0,"",INDEX($B$24:$F$24,MATCH(MAX(B33:F33),B33:F33,0)))</f>
        <v/>
      </c>
      <c r="I33" s="19" t="n"/>
      <c r="J33" s="19" t="n"/>
      <c r="K33" s="19" t="n"/>
    </row>
    <row r="34">
      <c r="A34" s="19" t="inlineStr">
        <is>
          <t>Deutschlandticket</t>
        </is>
      </c>
      <c r="B34" s="19">
        <f>SUMPRODUCT(ISNUMBER(SEARCH($A34,Drucksachen!$I$2:$I$293))*(Drucksachen!$F$2:$F$293=B$24)*(COUNTIF(Themen!$K$5:$K$8,Drucksachen!$E$2:$E$293)&gt;0))</f>
        <v/>
      </c>
      <c r="C34" s="19">
        <f>SUMPRODUCT(ISNUMBER(SEARCH($A34,Drucksachen!$I$2:$I$293))*(Drucksachen!$F$2:$F$293=C$24)*(COUNTIF(Themen!$K$5:$K$8,Drucksachen!$E$2:$E$293)&gt;0))</f>
        <v/>
      </c>
      <c r="D34" s="19">
        <f>SUMPRODUCT(ISNUMBER(SEARCH($A34,Drucksachen!$I$2:$I$293))*(Drucksachen!$F$2:$F$293=D$24)*(COUNTIF(Themen!$K$5:$K$8,Drucksachen!$E$2:$E$293)&gt;0))</f>
        <v/>
      </c>
      <c r="E34" s="19">
        <f>SUMPRODUCT(ISNUMBER(SEARCH($A34,Drucksachen!$I$2:$I$293))*(Drucksachen!$F$2:$F$293=E$24)*(COUNTIF(Themen!$K$5:$K$8,Drucksachen!$E$2:$E$293)&gt;0))</f>
        <v/>
      </c>
      <c r="F34" s="19">
        <f>SUMPRODUCT(ISNUMBER(SEARCH($A34,Drucksachen!$I$2:$I$293))*(Drucksachen!$F$2:$F$293=F$24)*(COUNTIF(Themen!$K$5:$K$8,Drucksachen!$E$2:$E$293)&gt;0))</f>
        <v/>
      </c>
      <c r="G34" s="19">
        <f>SUM(B34:F34)</f>
        <v/>
      </c>
      <c r="H34" s="19">
        <f>IF(G34=0,"",INDEX($B$24:$F$24,MATCH(MAX(B34:F34),B34:F34,0)))</f>
        <v/>
      </c>
      <c r="I34" s="19" t="n"/>
      <c r="J34" s="19" t="n"/>
      <c r="K34" s="19" t="n"/>
    </row>
    <row r="35">
      <c r="A35" s="19" t="inlineStr">
        <is>
          <t>Nahverkehr/SPNV</t>
        </is>
      </c>
      <c r="B35" s="19">
        <f>SUMPRODUCT(ISNUMBER(SEARCH($A35,Drucksachen!$I$2:$I$293))*(Drucksachen!$F$2:$F$293=B$24)*(COUNTIF(Themen!$K$5:$K$8,Drucksachen!$E$2:$E$293)&gt;0))</f>
        <v/>
      </c>
      <c r="C35" s="19">
        <f>SUMPRODUCT(ISNUMBER(SEARCH($A35,Drucksachen!$I$2:$I$293))*(Drucksachen!$F$2:$F$293=C$24)*(COUNTIF(Themen!$K$5:$K$8,Drucksachen!$E$2:$E$293)&gt;0))</f>
        <v/>
      </c>
      <c r="D35" s="19">
        <f>SUMPRODUCT(ISNUMBER(SEARCH($A35,Drucksachen!$I$2:$I$293))*(Drucksachen!$F$2:$F$293=D$24)*(COUNTIF(Themen!$K$5:$K$8,Drucksachen!$E$2:$E$293)&gt;0))</f>
        <v/>
      </c>
      <c r="E35" s="19">
        <f>SUMPRODUCT(ISNUMBER(SEARCH($A35,Drucksachen!$I$2:$I$293))*(Drucksachen!$F$2:$F$293=E$24)*(COUNTIF(Themen!$K$5:$K$8,Drucksachen!$E$2:$E$293)&gt;0))</f>
        <v/>
      </c>
      <c r="F35" s="19">
        <f>SUMPRODUCT(ISNUMBER(SEARCH($A35,Drucksachen!$I$2:$I$293))*(Drucksachen!$F$2:$F$293=F$24)*(COUNTIF(Themen!$K$5:$K$8,Drucksachen!$E$2:$E$293)&gt;0))</f>
        <v/>
      </c>
      <c r="G35" s="19">
        <f>SUM(B35:F35)</f>
        <v/>
      </c>
      <c r="H35" s="19">
        <f>IF(G35=0,"",INDEX($B$24:$F$24,MATCH(MAX(B35:F35),B35:F35,0)))</f>
        <v/>
      </c>
      <c r="I35" s="19" t="n"/>
      <c r="J35" s="19" t="n"/>
      <c r="K35" s="19" t="n"/>
    </row>
    <row r="36">
      <c r="A36" s="19" t="inlineStr">
        <is>
          <t>Deutschlandtakt/Fahrplan</t>
        </is>
      </c>
      <c r="B36" s="19">
        <f>SUMPRODUCT(ISNUMBER(SEARCH($A36,Drucksachen!$I$2:$I$293))*(Drucksachen!$F$2:$F$293=B$24)*(COUNTIF(Themen!$K$5:$K$8,Drucksachen!$E$2:$E$293)&gt;0))</f>
        <v/>
      </c>
      <c r="C36" s="19">
        <f>SUMPRODUCT(ISNUMBER(SEARCH($A36,Drucksachen!$I$2:$I$293))*(Drucksachen!$F$2:$F$293=C$24)*(COUNTIF(Themen!$K$5:$K$8,Drucksachen!$E$2:$E$293)&gt;0))</f>
        <v/>
      </c>
      <c r="D36" s="19">
        <f>SUMPRODUCT(ISNUMBER(SEARCH($A36,Drucksachen!$I$2:$I$293))*(Drucksachen!$F$2:$F$293=D$24)*(COUNTIF(Themen!$K$5:$K$8,Drucksachen!$E$2:$E$293)&gt;0))</f>
        <v/>
      </c>
      <c r="E36" s="19">
        <f>SUMPRODUCT(ISNUMBER(SEARCH($A36,Drucksachen!$I$2:$I$293))*(Drucksachen!$F$2:$F$293=E$24)*(COUNTIF(Themen!$K$5:$K$8,Drucksachen!$E$2:$E$293)&gt;0))</f>
        <v/>
      </c>
      <c r="F36" s="19">
        <f>SUMPRODUCT(ISNUMBER(SEARCH($A36,Drucksachen!$I$2:$I$293))*(Drucksachen!$F$2:$F$293=F$24)*(COUNTIF(Themen!$K$5:$K$8,Drucksachen!$E$2:$E$293)&gt;0))</f>
        <v/>
      </c>
      <c r="G36" s="19">
        <f>SUM(B36:F36)</f>
        <v/>
      </c>
      <c r="H36" s="19">
        <f>IF(G36=0,"",INDEX($B$24:$F$24,MATCH(MAX(B36:F36),B36:F36,0)))</f>
        <v/>
      </c>
      <c r="I36" s="19" t="n"/>
      <c r="J36" s="19" t="n"/>
      <c r="K36" s="19" t="n"/>
    </row>
    <row r="37">
      <c r="A37" s="19" t="inlineStr">
        <is>
          <t>Personal</t>
        </is>
      </c>
      <c r="B37" s="19">
        <f>SUMPRODUCT(ISNUMBER(SEARCH($A37,Drucksachen!$I$2:$I$293))*(Drucksachen!$F$2:$F$293=B$24)*(COUNTIF(Themen!$K$5:$K$8,Drucksachen!$E$2:$E$293)&gt;0))</f>
        <v/>
      </c>
      <c r="C37" s="19">
        <f>SUMPRODUCT(ISNUMBER(SEARCH($A37,Drucksachen!$I$2:$I$293))*(Drucksachen!$F$2:$F$293=C$24)*(COUNTIF(Themen!$K$5:$K$8,Drucksachen!$E$2:$E$293)&gt;0))</f>
        <v/>
      </c>
      <c r="D37" s="19">
        <f>SUMPRODUCT(ISNUMBER(SEARCH($A37,Drucksachen!$I$2:$I$293))*(Drucksachen!$F$2:$F$293=D$24)*(COUNTIF(Themen!$K$5:$K$8,Drucksachen!$E$2:$E$293)&gt;0))</f>
        <v/>
      </c>
      <c r="E37" s="19">
        <f>SUMPRODUCT(ISNUMBER(SEARCH($A37,Drucksachen!$I$2:$I$293))*(Drucksachen!$F$2:$F$293=E$24)*(COUNTIF(Themen!$K$5:$K$8,Drucksachen!$E$2:$E$293)&gt;0))</f>
        <v/>
      </c>
      <c r="F37" s="19">
        <f>SUMPRODUCT(ISNUMBER(SEARCH($A37,Drucksachen!$I$2:$I$293))*(Drucksachen!$F$2:$F$293=F$24)*(COUNTIF(Themen!$K$5:$K$8,Drucksachen!$E$2:$E$293)&gt;0))</f>
        <v/>
      </c>
      <c r="G37" s="19">
        <f>SUM(B37:F37)</f>
        <v/>
      </c>
      <c r="H37" s="19">
        <f>IF(G37=0,"",INDEX($B$24:$F$24,MATCH(MAX(B37:F37),B37:F37,0)))</f>
        <v/>
      </c>
      <c r="I37" s="19" t="n"/>
      <c r="J37" s="19" t="n"/>
      <c r="K37" s="19" t="n"/>
    </row>
    <row r="38">
      <c r="A38" s="19" t="inlineStr">
        <is>
          <t>Gueterverkehr</t>
        </is>
      </c>
      <c r="B38" s="19">
        <f>SUMPRODUCT(ISNUMBER(SEARCH($A38,Drucksachen!$I$2:$I$293))*(Drucksachen!$F$2:$F$293=B$24)*(COUNTIF(Themen!$K$5:$K$8,Drucksachen!$E$2:$E$293)&gt;0))</f>
        <v/>
      </c>
      <c r="C38" s="19">
        <f>SUMPRODUCT(ISNUMBER(SEARCH($A38,Drucksachen!$I$2:$I$293))*(Drucksachen!$F$2:$F$293=C$24)*(COUNTIF(Themen!$K$5:$K$8,Drucksachen!$E$2:$E$293)&gt;0))</f>
        <v/>
      </c>
      <c r="D38" s="19">
        <f>SUMPRODUCT(ISNUMBER(SEARCH($A38,Drucksachen!$I$2:$I$293))*(Drucksachen!$F$2:$F$293=D$24)*(COUNTIF(Themen!$K$5:$K$8,Drucksachen!$E$2:$E$293)&gt;0))</f>
        <v/>
      </c>
      <c r="E38" s="19">
        <f>SUMPRODUCT(ISNUMBER(SEARCH($A38,Drucksachen!$I$2:$I$293))*(Drucksachen!$F$2:$F$293=E$24)*(COUNTIF(Themen!$K$5:$K$8,Drucksachen!$E$2:$E$293)&gt;0))</f>
        <v/>
      </c>
      <c r="F38" s="19">
        <f>SUMPRODUCT(ISNUMBER(SEARCH($A38,Drucksachen!$I$2:$I$293))*(Drucksachen!$F$2:$F$293=F$24)*(COUNTIF(Themen!$K$5:$K$8,Drucksachen!$E$2:$E$293)&gt;0))</f>
        <v/>
      </c>
      <c r="G38" s="19">
        <f>SUM(B38:F38)</f>
        <v/>
      </c>
      <c r="H38" s="19">
        <f>IF(G38=0,"",INDEX($B$24:$F$24,MATCH(MAX(B38:F38),B38:F38,0)))</f>
        <v/>
      </c>
      <c r="I38" s="19" t="n"/>
      <c r="J38" s="19" t="n"/>
      <c r="K38" s="19" t="n"/>
    </row>
    <row r="39">
      <c r="A39" s="21" t="inlineStr">
        <is>
          <t>Nennungen gesamt</t>
        </is>
      </c>
      <c r="B39" s="21">
        <f>SUM(B25:B38)</f>
        <v/>
      </c>
      <c r="C39" s="21">
        <f>SUM(C25:C38)</f>
        <v/>
      </c>
      <c r="D39" s="21">
        <f>SUM(D25:D38)</f>
        <v/>
      </c>
      <c r="E39" s="21">
        <f>SUM(E25:E38)</f>
        <v/>
      </c>
      <c r="F39" s="21">
        <f>SUM(F25:F38)</f>
        <v/>
      </c>
      <c r="G39" s="21">
        <f>SUM(G25:G38)</f>
        <v/>
      </c>
      <c r="H39" s="21" t="n"/>
      <c r="I39" s="21" t="n"/>
      <c r="J39" s="21" t="n"/>
      <c r="K39" s="21" t="n"/>
    </row>
  </sheetData>
  <mergeCells count="1">
    <mergeCell ref="A22:H2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2" customWidth="1" min="1" max="1"/>
    <col width="20" customWidth="1" min="2" max="2"/>
    <col width="17" customWidth="1" min="3" max="3"/>
    <col width="12" customWidth="1" min="4" max="4"/>
    <col width="12" customWidth="1" min="5" max="5"/>
    <col width="22" customWidth="1" min="6" max="6"/>
  </cols>
  <sheetData>
    <row r="1">
      <c r="A1" s="17" t="inlineStr">
        <is>
          <t>Bearbeitungsdauer Kleiner Anfragen</t>
        </is>
      </c>
    </row>
    <row r="2">
      <c r="A2" s="18" t="inlineStr">
        <is>
          <t>Tage zwischen dem Datum der Kleinen Anfrage und dem Datum der Antwort der Bundesregierung. Zuordnung ueber die im Antworttitel genannte Drucksachennummer; Anfragen ohne auffindbare Antwort bleiben unberuecksichtigt.</t>
        </is>
      </c>
    </row>
    <row r="4" ht="28" customHeight="1">
      <c r="A4" s="11" t="inlineStr">
        <is>
          <t>Fragende Fraktion</t>
        </is>
      </c>
      <c r="B4" s="11" t="inlineStr">
        <is>
          <t>Beantwortete Anfragen</t>
        </is>
      </c>
      <c r="C4" s="11" t="inlineStr">
        <is>
          <t>Mittelwert (Tage)</t>
        </is>
      </c>
      <c r="D4" s="11" t="inlineStr">
        <is>
          <t>Kuerzeste</t>
        </is>
      </c>
      <c r="E4" s="11" t="inlineStr">
        <is>
          <t>Laengste</t>
        </is>
      </c>
      <c r="F4" s="11" t="inlineStr">
        <is>
          <t>Gestellte Anfragen gesamt</t>
        </is>
      </c>
    </row>
    <row r="5">
      <c r="A5" s="19" t="inlineStr">
        <is>
          <t>CDU/CSU</t>
        </is>
      </c>
      <c r="B5" s="19">
        <f>COUNTIFS(Drucksachen!$P$2:$P$293,$A5,Drucksachen!$K$2:$K$293,"&gt;0")</f>
        <v/>
      </c>
      <c r="C5" s="24">
        <f>IF($B5=0,"",IFERROR(AVERAGEIFS(Drucksachen!$K$2:$K$293,Drucksachen!$P$2:$P$293,$A5,Drucksachen!$K$2:$K$293,"&gt;0"),""))</f>
        <v/>
      </c>
      <c r="D5" s="24">
        <f>IF($B5=0,"",IFERROR(_xlfn.MINIFS(Drucksachen!$K$2:$K$293,Drucksachen!$P$2:$P$293,$A5,Drucksachen!$K$2:$K$293,"&gt;0"),""))</f>
        <v/>
      </c>
      <c r="E5" s="24">
        <f>IF($B5=0,"",IFERROR(_xlfn.MAXIFS(Drucksachen!$K$2:$K$293,Drucksachen!$P$2:$P$293,$A5,Drucksachen!$K$2:$K$293,"&gt;0"),""))</f>
        <v/>
      </c>
      <c r="F5" s="19">
        <f>COUNTIFS(Drucksachen!$F$2:$F$293,$A5,Drucksachen!$E$2:$E$293,"Kleine Anfrage")</f>
        <v/>
      </c>
    </row>
    <row r="6">
      <c r="A6" s="19" t="inlineStr">
        <is>
          <t>Gruene</t>
        </is>
      </c>
      <c r="B6" s="19">
        <f>COUNTIFS(Drucksachen!$P$2:$P$293,$A6,Drucksachen!$K$2:$K$293,"&gt;0")</f>
        <v/>
      </c>
      <c r="C6" s="24">
        <f>IF($B6=0,"",IFERROR(AVERAGEIFS(Drucksachen!$K$2:$K$293,Drucksachen!$P$2:$P$293,$A6,Drucksachen!$K$2:$K$293,"&gt;0"),""))</f>
        <v/>
      </c>
      <c r="D6" s="24">
        <f>IF($B6=0,"",IFERROR(_xlfn.MINIFS(Drucksachen!$K$2:$K$293,Drucksachen!$P$2:$P$293,$A6,Drucksachen!$K$2:$K$293,"&gt;0"),""))</f>
        <v/>
      </c>
      <c r="E6" s="24">
        <f>IF($B6=0,"",IFERROR(_xlfn.MAXIFS(Drucksachen!$K$2:$K$293,Drucksachen!$P$2:$P$293,$A6,Drucksachen!$K$2:$K$293,"&gt;0"),""))</f>
        <v/>
      </c>
      <c r="F6" s="19">
        <f>COUNTIFS(Drucksachen!$F$2:$F$293,$A6,Drucksachen!$E$2:$E$293,"Kleine Anfrage")</f>
        <v/>
      </c>
    </row>
    <row r="7">
      <c r="A7" s="19" t="inlineStr">
        <is>
          <t>AfD</t>
        </is>
      </c>
      <c r="B7" s="19">
        <f>COUNTIFS(Drucksachen!$P$2:$P$293,$A7,Drucksachen!$K$2:$K$293,"&gt;0")</f>
        <v/>
      </c>
      <c r="C7" s="24">
        <f>IF($B7=0,"",IFERROR(AVERAGEIFS(Drucksachen!$K$2:$K$293,Drucksachen!$P$2:$P$293,$A7,Drucksachen!$K$2:$K$293,"&gt;0"),""))</f>
        <v/>
      </c>
      <c r="D7" s="24">
        <f>IF($B7=0,"",IFERROR(_xlfn.MINIFS(Drucksachen!$K$2:$K$293,Drucksachen!$P$2:$P$293,$A7,Drucksachen!$K$2:$K$293,"&gt;0"),""))</f>
        <v/>
      </c>
      <c r="E7" s="24">
        <f>IF($B7=0,"",IFERROR(_xlfn.MAXIFS(Drucksachen!$K$2:$K$293,Drucksachen!$P$2:$P$293,$A7,Drucksachen!$K$2:$K$293,"&gt;0"),""))</f>
        <v/>
      </c>
      <c r="F7" s="19">
        <f>COUNTIFS(Drucksachen!$F$2:$F$293,$A7,Drucksachen!$E$2:$E$293,"Kleine Anfrage")</f>
        <v/>
      </c>
    </row>
    <row r="8">
      <c r="A8" s="19" t="inlineStr">
        <is>
          <t>Linke</t>
        </is>
      </c>
      <c r="B8" s="19">
        <f>COUNTIFS(Drucksachen!$P$2:$P$293,$A8,Drucksachen!$K$2:$K$293,"&gt;0")</f>
        <v/>
      </c>
      <c r="C8" s="24">
        <f>IF($B8=0,"",IFERROR(AVERAGEIFS(Drucksachen!$K$2:$K$293,Drucksachen!$P$2:$P$293,$A8,Drucksachen!$K$2:$K$293,"&gt;0"),""))</f>
        <v/>
      </c>
      <c r="D8" s="24">
        <f>IF($B8=0,"",IFERROR(_xlfn.MINIFS(Drucksachen!$K$2:$K$293,Drucksachen!$P$2:$P$293,$A8,Drucksachen!$K$2:$K$293,"&gt;0"),""))</f>
        <v/>
      </c>
      <c r="E8" s="24">
        <f>IF($B8=0,"",IFERROR(_xlfn.MAXIFS(Drucksachen!$K$2:$K$293,Drucksachen!$P$2:$P$293,$A8,Drucksachen!$K$2:$K$293,"&gt;0"),""))</f>
        <v/>
      </c>
      <c r="F8" s="19">
        <f>COUNTIFS(Drucksachen!$F$2:$F$293,$A8,Drucksachen!$E$2:$E$293,"Kleine Anfrage")</f>
        <v/>
      </c>
    </row>
    <row r="9">
      <c r="A9" s="19" t="inlineStr">
        <is>
          <t>Mehrere Fraktionen</t>
        </is>
      </c>
      <c r="B9" s="19">
        <f>COUNTIFS(Drucksachen!$P$2:$P$293,$A9,Drucksachen!$K$2:$K$293,"&gt;0")</f>
        <v/>
      </c>
      <c r="C9" s="24">
        <f>IF($B9=0,"",IFERROR(AVERAGEIFS(Drucksachen!$K$2:$K$293,Drucksachen!$P$2:$P$293,$A9,Drucksachen!$K$2:$K$293,"&gt;0"),""))</f>
        <v/>
      </c>
      <c r="D9" s="24">
        <f>IF($B9=0,"",IFERROR(_xlfn.MINIFS(Drucksachen!$K$2:$K$293,Drucksachen!$P$2:$P$293,$A9,Drucksachen!$K$2:$K$293,"&gt;0"),""))</f>
        <v/>
      </c>
      <c r="E9" s="24">
        <f>IF($B9=0,"",IFERROR(_xlfn.MAXIFS(Drucksachen!$K$2:$K$293,Drucksachen!$P$2:$P$293,$A9,Drucksachen!$K$2:$K$293,"&gt;0"),""))</f>
        <v/>
      </c>
      <c r="F9" s="19">
        <f>COUNTIFS(Drucksachen!$F$2:$F$293,$A9,Drucksachen!$E$2:$E$293,"Kleine Anfrage")</f>
        <v/>
      </c>
    </row>
  </sheetData>
  <mergeCells count="1">
    <mergeCell ref="A2:F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57"/>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62" customWidth="1" min="3" max="3"/>
    <col width="26" customWidth="1" min="4" max="4"/>
    <col width="20" customWidth="1" min="5" max="5"/>
    <col width="13" customWidth="1" min="6" max="6"/>
    <col width="13" customWidth="1" min="7" max="7"/>
    <col width="13" customWidth="1" min="8" max="8"/>
    <col width="13" customWidth="1" min="9" max="9"/>
    <col width="13" customWidth="1" min="10" max="10"/>
    <col width="13" customWidth="1" min="11" max="11"/>
  </cols>
  <sheetData>
    <row r="1">
      <c r="A1" s="17" t="inlineStr">
        <is>
          <t>Abstimmungsverhalten der Fraktionen</t>
        </is>
      </c>
    </row>
    <row r="2" ht="40" customHeight="1">
      <c r="A2" s="18" t="inlineStr">
        <is>
          <t>Quelle: Feld 'beschlussfassung' der Vorgangspositionen. Ueber Kleine Anfragen und deren Antworten wird nicht abgestimmt - erfasst sind nur Antraege, Gesetzentwuerfe, Entschliessungsantraege und Beschlussempfehlungen. Leere Zelle heisst: aus der DIP-Bemerkung nicht eindeutig ableitbar, nicht etwa Abwesenheit.</t>
        </is>
      </c>
    </row>
    <row r="4" ht="28" customHeight="1">
      <c r="A4" s="11" t="inlineStr">
        <is>
          <t>Datum</t>
        </is>
      </c>
      <c r="B4" s="11" t="inlineStr">
        <is>
          <t>Drucksache</t>
        </is>
      </c>
      <c r="C4" s="11" t="inlineStr">
        <is>
          <t>Vorlage</t>
        </is>
      </c>
      <c r="D4" s="11" t="inlineStr">
        <is>
          <t>Beschluss</t>
        </is>
      </c>
      <c r="E4" s="11" t="inlineStr">
        <is>
          <t>Abstimmungsart</t>
        </is>
      </c>
      <c r="F4" s="11" t="inlineStr">
        <is>
          <t>CDU/CSU</t>
        </is>
      </c>
      <c r="G4" s="11" t="inlineStr">
        <is>
          <t>SPD</t>
        </is>
      </c>
      <c r="H4" s="11" t="inlineStr">
        <is>
          <t>Gruene</t>
        </is>
      </c>
      <c r="I4" s="11" t="inlineStr">
        <is>
          <t>FDP</t>
        </is>
      </c>
      <c r="J4" s="11" t="inlineStr">
        <is>
          <t>AfD</t>
        </is>
      </c>
      <c r="K4" s="11" t="inlineStr">
        <is>
          <t>Linke</t>
        </is>
      </c>
    </row>
    <row r="5">
      <c r="A5" s="25" t="n">
        <v>46213</v>
      </c>
      <c r="B5" t="inlineStr">
        <is>
          <t>390/26</t>
        </is>
      </c>
      <c r="C5" t="inlineStr">
        <is>
          <t>Infrastruktur-Zukunftsgesetz</t>
        </is>
      </c>
      <c r="D5" t="inlineStr">
        <is>
          <t>Zustimmung; Entschließung</t>
        </is>
      </c>
      <c r="E5" t="inlineStr"/>
      <c r="F5" s="26" t="n"/>
      <c r="G5" s="26" t="n"/>
      <c r="H5" s="26" t="n"/>
      <c r="I5" s="26" t="n"/>
      <c r="J5" s="26" t="n"/>
      <c r="K5" s="26" t="n"/>
    </row>
    <row r="6">
      <c r="A6" s="25" t="n">
        <v>46212</v>
      </c>
      <c r="B6" t="inlineStr">
        <is>
          <t>21/6922</t>
        </is>
      </c>
      <c r="C6" t="inlineStr">
        <is>
          <t>Stillstand in der Bahnpolitik überwinden - Strukturreformen umsetzen, Kapazitäten des Schienennetzes verstärken und ein gutes Fernverkehrsangebot sicherstellen</t>
        </is>
      </c>
      <c r="D6" t="inlineStr">
        <is>
          <t>Überweisung</t>
        </is>
      </c>
      <c r="E6" t="inlineStr"/>
      <c r="F6" s="26" t="n"/>
      <c r="G6" s="26" t="n"/>
      <c r="H6" s="26" t="n"/>
      <c r="I6" s="26" t="n"/>
      <c r="J6" s="26" t="n"/>
      <c r="K6" s="26" t="n"/>
    </row>
    <row r="7">
      <c r="A7" s="25" t="n">
        <v>46212</v>
      </c>
      <c r="B7" t="inlineStr">
        <is>
          <t>21/6331</t>
        </is>
      </c>
      <c r="C7" t="inlineStr">
        <is>
          <t>Leistung erbringen, Neutralität wahren - Aufgabenfremde Maßnahmen wie die Regenbogenbeflaggung bei der Deutsche Bahn AG unterlassen</t>
        </is>
      </c>
      <c r="D7" t="inlineStr">
        <is>
          <t>Ablehnung der Vorlage</t>
        </is>
      </c>
      <c r="E7" t="inlineStr"/>
      <c r="F7" s="26" t="n"/>
      <c r="G7" s="26" t="n"/>
      <c r="H7" s="26" t="n"/>
      <c r="I7" s="26" t="n"/>
      <c r="J7" s="26" t="n"/>
      <c r="K7" s="26" t="n"/>
    </row>
    <row r="8">
      <c r="A8" s="25" t="n">
        <v>46199</v>
      </c>
      <c r="B8" t="inlineStr">
        <is>
          <t>21/6703</t>
        </is>
      </c>
      <c r="C8" t="inlineStr">
        <is>
          <t>Infrastruktur-Zukunftsgesetz</t>
        </is>
      </c>
      <c r="D8" t="inlineStr">
        <is>
          <t>Ablehnung des Änderungsantrags</t>
        </is>
      </c>
      <c r="E8" t="inlineStr"/>
      <c r="F8" s="26" t="n"/>
      <c r="G8" s="26" t="n"/>
      <c r="H8" s="26" t="n"/>
      <c r="I8" s="26" t="n"/>
      <c r="J8" s="26" t="n"/>
      <c r="K8" s="26" t="n"/>
    </row>
    <row r="9">
      <c r="A9" s="25" t="n">
        <v>46199</v>
      </c>
      <c r="B9" t="inlineStr">
        <is>
          <t>21/4099, 21/6701</t>
        </is>
      </c>
      <c r="C9" t="inlineStr">
        <is>
          <t>Infrastruktur-Zukunftsgesetz</t>
        </is>
      </c>
      <c r="D9" t="inlineStr">
        <is>
          <t>Annahme in Ausschussfassung</t>
        </is>
      </c>
      <c r="E9" t="inlineStr"/>
      <c r="F9" s="26" t="n"/>
      <c r="G9" s="26" t="n"/>
      <c r="H9" s="26" t="n"/>
      <c r="I9" s="26" t="n"/>
      <c r="J9" s="26" t="n"/>
      <c r="K9" s="26" t="n"/>
    </row>
    <row r="10">
      <c r="A10" s="25" t="n">
        <v>46199</v>
      </c>
      <c r="B10" t="inlineStr">
        <is>
          <t>21/4458</t>
        </is>
      </c>
      <c r="C10" t="inlineStr">
        <is>
          <t>Infrastrukturvorhaben im Schienennetz effektiv beschleunigen</t>
        </is>
      </c>
      <c r="D10" t="inlineStr">
        <is>
          <t>Ablehnung der Vorlage</t>
        </is>
      </c>
      <c r="E10" t="inlineStr"/>
      <c r="F10" s="26" t="n"/>
      <c r="G10" s="26" t="n"/>
      <c r="H10" s="26" t="n"/>
      <c r="I10" s="26" t="n"/>
      <c r="J10" s="26" t="n"/>
      <c r="K10" s="26" t="n"/>
    </row>
    <row r="11">
      <c r="A11" s="25" t="n">
        <v>46199</v>
      </c>
      <c r="B11" t="inlineStr">
        <is>
          <t>21/4099, 21/6701</t>
        </is>
      </c>
      <c r="C11" t="inlineStr">
        <is>
          <t>Infrastruktur-Zukunftsgesetz</t>
        </is>
      </c>
      <c r="D11" t="inlineStr">
        <is>
          <t>Annahme in Ausschussfassung</t>
        </is>
      </c>
      <c r="E11" t="inlineStr"/>
      <c r="F11" s="26" t="n"/>
      <c r="G11" s="26" t="n"/>
      <c r="H11" s="26" t="n"/>
      <c r="I11" s="26" t="n"/>
      <c r="J11" s="26" t="n"/>
      <c r="K11" s="26" t="n"/>
    </row>
    <row r="12">
      <c r="A12" s="25" t="n">
        <v>46183</v>
      </c>
      <c r="B12" t="inlineStr">
        <is>
          <t>21/6331</t>
        </is>
      </c>
      <c r="C12" t="inlineStr">
        <is>
          <t>Leistung erbringen, Neutralität wahren - Aufgabenfremde Maßnahmen wie die Regenbogenbeflaggung bei der Deutsche Bahn AG unterlassen</t>
        </is>
      </c>
      <c r="D12" t="inlineStr">
        <is>
          <t>Überweisung</t>
        </is>
      </c>
      <c r="E12" t="inlineStr"/>
      <c r="F12" s="26" t="n"/>
      <c r="G12" s="26" t="n"/>
      <c r="H12" s="26" t="n"/>
      <c r="I12" s="26" t="n"/>
      <c r="J12" s="26" t="n"/>
      <c r="K12" s="26" t="n"/>
    </row>
    <row r="13">
      <c r="A13" s="25" t="n">
        <v>46086</v>
      </c>
      <c r="B13" t="inlineStr">
        <is>
          <t>21/4458</t>
        </is>
      </c>
      <c r="C13" t="inlineStr">
        <is>
          <t>Infrastrukturvorhaben im Schienennetz effektiv beschleunigen</t>
        </is>
      </c>
      <c r="D13" t="inlineStr">
        <is>
          <t>Überweisung</t>
        </is>
      </c>
      <c r="E13" t="inlineStr"/>
      <c r="F13" s="26" t="n"/>
      <c r="G13" s="26" t="n"/>
      <c r="H13" s="26" t="n"/>
      <c r="I13" s="26" t="n"/>
      <c r="J13" s="26" t="n"/>
      <c r="K13" s="26" t="n"/>
    </row>
    <row r="14">
      <c r="A14" s="25" t="n">
        <v>46085</v>
      </c>
      <c r="B14" t="inlineStr">
        <is>
          <t>21/4099</t>
        </is>
      </c>
      <c r="C14" t="inlineStr">
        <is>
          <t>Infrastruktur-Zukunftsgesetz</t>
        </is>
      </c>
      <c r="D14" t="inlineStr">
        <is>
          <t>Änderung des Überweisungsbeschlusses</t>
        </is>
      </c>
      <c r="E14" t="inlineStr"/>
      <c r="F14" s="26" t="n"/>
      <c r="G14" s="26" t="n"/>
      <c r="H14" s="26" t="n"/>
      <c r="I14" s="26" t="n"/>
      <c r="J14" s="26" t="n"/>
      <c r="K14" s="26" t="n"/>
    </row>
    <row r="15">
      <c r="A15" s="25" t="n">
        <v>46079</v>
      </c>
      <c r="B15" t="inlineStr">
        <is>
          <t>21/4099, 21/4301</t>
        </is>
      </c>
      <c r="C15" t="inlineStr">
        <is>
          <t>Infrastruktur-Zukunftsgesetz</t>
        </is>
      </c>
      <c r="D15" t="inlineStr">
        <is>
          <t>Überweisung</t>
        </is>
      </c>
      <c r="E15" t="inlineStr"/>
      <c r="F15" s="26" t="n"/>
      <c r="G15" s="26" t="n"/>
      <c r="H15" s="26" t="n"/>
      <c r="I15" s="26" t="n"/>
      <c r="J15" s="26" t="n"/>
      <c r="K15" s="26" t="n"/>
    </row>
    <row r="16">
      <c r="A16" s="25" t="n">
        <v>46052</v>
      </c>
      <c r="B16" t="inlineStr">
        <is>
          <t>780/25</t>
        </is>
      </c>
      <c r="C16" t="inlineStr">
        <is>
          <t>Infrastruktur-Zukunftsgesetz</t>
        </is>
      </c>
      <c r="D16" t="inlineStr">
        <is>
          <t>Stellungnahme</t>
        </is>
      </c>
      <c r="E16" t="inlineStr"/>
      <c r="F16" s="26" t="n"/>
      <c r="G16" s="26" t="n"/>
      <c r="H16" s="26" t="n"/>
      <c r="I16" s="26" t="n"/>
      <c r="J16" s="26" t="n"/>
      <c r="K16" s="26" t="n"/>
    </row>
    <row r="17">
      <c r="A17" s="25" t="n">
        <v>45982</v>
      </c>
      <c r="B17" t="inlineStr">
        <is>
          <t>663/25</t>
        </is>
      </c>
      <c r="C17" t="inlineStr">
        <is>
          <t>Gesetz zur Abmilderung des Trassenentgeltanstiegs bei den Eisenbahnen des Bundes</t>
        </is>
      </c>
      <c r="D17" t="inlineStr">
        <is>
          <t>Zustimmung; Entschließung</t>
        </is>
      </c>
      <c r="E17" t="inlineStr"/>
      <c r="F17" s="26" t="n"/>
      <c r="G17" s="26" t="n"/>
      <c r="H17" s="26" t="n"/>
      <c r="I17" s="26" t="n"/>
      <c r="J17" s="26" t="n"/>
      <c r="K17" s="26" t="n"/>
    </row>
    <row r="18">
      <c r="A18" s="25" t="n">
        <v>45974</v>
      </c>
      <c r="B18" t="inlineStr">
        <is>
          <t>21/1499, 21/2787</t>
        </is>
      </c>
      <c r="C18" t="inlineStr">
        <is>
          <t>Gesetz zur Abmilderung des Trassenentgeltanstiegs bei den Eisenbahnen des Bundes</t>
        </is>
      </c>
      <c r="D18" t="inlineStr">
        <is>
          <t>Annahme in Ausschussfassung</t>
        </is>
      </c>
      <c r="E18" t="inlineStr"/>
      <c r="F18" s="26" t="n"/>
      <c r="G18" s="26" t="n"/>
      <c r="H18" s="26" t="n"/>
      <c r="I18" s="26" t="n"/>
      <c r="J18" s="26" t="n"/>
      <c r="K18" s="26" t="n"/>
    </row>
    <row r="19">
      <c r="A19" s="25" t="n">
        <v>45974</v>
      </c>
      <c r="B19" t="inlineStr">
        <is>
          <t>21/2787</t>
        </is>
      </c>
      <c r="C19" t="inlineStr">
        <is>
          <t>Gesetz zur Abmilderung des Trassenentgeltanstiegs bei den Eisenbahnen des Bundes</t>
        </is>
      </c>
      <c r="D19" t="inlineStr">
        <is>
          <t>Annahme einer Entschließung</t>
        </is>
      </c>
      <c r="E19" t="inlineStr"/>
      <c r="F19" s="26" t="n"/>
      <c r="G19" s="26" t="n"/>
      <c r="H19" s="26" t="n"/>
      <c r="I19" s="26" t="n"/>
      <c r="J19" s="26" t="n"/>
      <c r="K19" s="26" t="n"/>
    </row>
    <row r="20">
      <c r="A20" s="25" t="n">
        <v>45974</v>
      </c>
      <c r="B20" t="inlineStr">
        <is>
          <t>21/2790</t>
        </is>
      </c>
      <c r="C20" t="inlineStr">
        <is>
          <t>Entschließungsantrag zum Gesetz zur Abmilderung des Trassenentgeltanstiegs bei den Eisenbahnen des Bundes</t>
        </is>
      </c>
      <c r="D20" t="inlineStr">
        <is>
          <t>Ablehnung der Vorlage</t>
        </is>
      </c>
      <c r="E20" t="inlineStr"/>
      <c r="F20" s="26" t="n"/>
      <c r="G20" s="26" t="n"/>
      <c r="H20" s="26" t="n"/>
      <c r="I20" s="26" t="n"/>
      <c r="J20" s="26" t="n"/>
      <c r="K20" s="26" t="n"/>
    </row>
    <row r="21">
      <c r="A21" s="25" t="n">
        <v>45974</v>
      </c>
      <c r="B21" t="inlineStr">
        <is>
          <t>21/1499, 21/2787</t>
        </is>
      </c>
      <c r="C21" t="inlineStr">
        <is>
          <t>Gesetz zur Abmilderung des Trassenentgeltanstiegs bei den Eisenbahnen des Bundes</t>
        </is>
      </c>
      <c r="D21" t="inlineStr">
        <is>
          <t>Annahme in Ausschussfassung</t>
        </is>
      </c>
      <c r="E21" t="inlineStr"/>
      <c r="F21" s="26" t="n"/>
      <c r="G21" s="26" t="n"/>
      <c r="H21" s="26" t="n"/>
      <c r="I21" s="26" t="n"/>
      <c r="J21" s="26" t="n"/>
      <c r="K21" s="26" t="n"/>
    </row>
    <row r="22">
      <c r="A22" s="25" t="n">
        <v>45968</v>
      </c>
      <c r="B22" t="inlineStr">
        <is>
          <t>21/1543</t>
        </is>
      </c>
      <c r="C22" t="inlineStr">
        <is>
          <t>Deutschlandticket weiterentwickeln und langfristig sichern</t>
        </is>
      </c>
      <c r="D22" t="inlineStr">
        <is>
          <t>Ablehnung der Vorlage</t>
        </is>
      </c>
      <c r="E22" t="inlineStr"/>
      <c r="F22" s="26" t="n"/>
      <c r="G22" s="26" t="n"/>
      <c r="H22" s="26" t="n"/>
      <c r="I22" s="26" t="n"/>
      <c r="J22" s="26" t="n"/>
      <c r="K22" s="26" t="n"/>
    </row>
    <row r="23">
      <c r="A23" s="25" t="n">
        <v>45940</v>
      </c>
      <c r="B23" t="inlineStr">
        <is>
          <t>21/1544</t>
        </is>
      </c>
      <c r="C23" t="inlineStr">
        <is>
          <t>Investitionen in die Erweiterung des Schienennetzes sicherstellen - Deutschlandtakt auf den Weg bringen</t>
        </is>
      </c>
      <c r="D23" t="inlineStr">
        <is>
          <t>Ablehnung der Vorlage</t>
        </is>
      </c>
      <c r="E23" t="inlineStr"/>
      <c r="F23" s="26" t="n"/>
      <c r="G23" s="26" t="n"/>
      <c r="H23" s="26" t="n"/>
      <c r="I23" s="26" t="n"/>
      <c r="J23" s="26" t="n"/>
      <c r="K23" s="26" t="n"/>
    </row>
    <row r="24">
      <c r="A24" s="25" t="n">
        <v>45940</v>
      </c>
      <c r="B24" t="inlineStr">
        <is>
          <t>21/581</t>
        </is>
      </c>
      <c r="C24" t="inlineStr">
        <is>
          <t>Die Bahn zum Rückgrat klima- und familienfreundlicher Mobilität machen</t>
        </is>
      </c>
      <c r="D24" t="inlineStr">
        <is>
          <t>Ablehnung der Vorlage</t>
        </is>
      </c>
      <c r="E24" t="inlineStr"/>
      <c r="F24" s="26" t="n"/>
      <c r="G24" s="26" t="n"/>
      <c r="H24" s="26" t="n"/>
      <c r="I24" s="26" t="n"/>
      <c r="J24" s="26" t="n"/>
      <c r="K24" s="26" t="n"/>
    </row>
    <row r="25">
      <c r="A25" s="25" t="n">
        <v>45926</v>
      </c>
      <c r="B25" t="inlineStr">
        <is>
          <t>347/25</t>
        </is>
      </c>
      <c r="C25" t="inlineStr">
        <is>
          <t>Gesetz zur Stärkung des Klimaschutzes durch eine Beschleunigung des Ausbaus der Schieneninfrastruktur - Klimaschutzbeschleunigungsgesetz Schiene</t>
        </is>
      </c>
      <c r="D25" t="inlineStr">
        <is>
          <t>erneute Einbringung; Bestellung eines Beauftragten</t>
        </is>
      </c>
      <c r="E25" t="inlineStr"/>
      <c r="F25" s="26" t="n"/>
      <c r="G25" s="26" t="n"/>
      <c r="H25" s="26" t="n"/>
      <c r="I25" s="26" t="n"/>
      <c r="J25" s="26" t="n"/>
      <c r="K25" s="26" t="n"/>
    </row>
    <row r="26">
      <c r="A26" s="25" t="n">
        <v>45926</v>
      </c>
      <c r="B26" t="inlineStr">
        <is>
          <t>375/25</t>
        </is>
      </c>
      <c r="C26" t="inlineStr">
        <is>
          <t>Gesetz zur Abmilderung des Trassenentgeltanstiegs bei den Eisenbahnen des Bundes</t>
        </is>
      </c>
      <c r="D26" t="inlineStr">
        <is>
          <t>Stellungnahme: u.a. Änderungsvorschläge</t>
        </is>
      </c>
      <c r="E26" t="inlineStr"/>
      <c r="F26" s="26" t="n"/>
      <c r="G26" s="26" t="n"/>
      <c r="H26" s="26" t="n"/>
      <c r="I26" s="26" t="n"/>
      <c r="J26" s="26" t="n"/>
      <c r="K26" s="26" t="n"/>
    </row>
    <row r="27">
      <c r="A27" s="25" t="n">
        <v>45925</v>
      </c>
      <c r="B27" t="inlineStr">
        <is>
          <t>21/1754</t>
        </is>
      </c>
      <c r="C27" t="inlineStr">
        <is>
          <t>Mitglieder des Deutschen Bundestages aus Aufsichtsräten bei der Deutschen Bahn AG und der Autobahn GmbH des Bundes dauerhaft abberufen</t>
        </is>
      </c>
      <c r="D27" t="inlineStr">
        <is>
          <t>Überweisung</t>
        </is>
      </c>
      <c r="E27" t="inlineStr"/>
      <c r="F27" s="26" t="n"/>
      <c r="G27" s="26" t="n"/>
      <c r="H27" s="26" t="n"/>
      <c r="I27" s="26" t="n"/>
      <c r="J27" s="26" t="n"/>
      <c r="K27" s="26" t="n"/>
    </row>
    <row r="28">
      <c r="A28" s="25" t="n">
        <v>45911</v>
      </c>
      <c r="B28" t="inlineStr">
        <is>
          <t>21/1499</t>
        </is>
      </c>
      <c r="C28" t="inlineStr">
        <is>
          <t>Gesetz zur Abmilderung des Trassenentgeltanstiegs bei den Eisenbahnen des Bundes</t>
        </is>
      </c>
      <c r="D28" t="inlineStr">
        <is>
          <t>Überweisung</t>
        </is>
      </c>
      <c r="E28" t="inlineStr"/>
      <c r="F28" s="26" t="n"/>
      <c r="G28" s="26" t="n"/>
      <c r="H28" s="26" t="n"/>
      <c r="I28" s="26" t="n"/>
      <c r="J28" s="26" t="n"/>
      <c r="K28" s="26" t="n"/>
    </row>
    <row r="29">
      <c r="A29" s="25" t="n">
        <v>45911</v>
      </c>
      <c r="B29" t="inlineStr">
        <is>
          <t>21/1543</t>
        </is>
      </c>
      <c r="C29" t="inlineStr">
        <is>
          <t>Deutschlandticket weiterentwickeln und langfristig sichern</t>
        </is>
      </c>
      <c r="D29" t="inlineStr">
        <is>
          <t>Überweisung</t>
        </is>
      </c>
      <c r="E29" t="inlineStr"/>
      <c r="F29" s="26" t="n"/>
      <c r="G29" s="26" t="n"/>
      <c r="H29" s="26" t="n"/>
      <c r="I29" s="26" t="n"/>
      <c r="J29" s="26" t="n"/>
      <c r="K29" s="26" t="n"/>
    </row>
    <row r="30">
      <c r="A30" s="25" t="n">
        <v>45911</v>
      </c>
      <c r="B30" t="inlineStr">
        <is>
          <t>21/1544</t>
        </is>
      </c>
      <c r="C30" t="inlineStr">
        <is>
          <t>Investitionen in die Erweiterung des Schienennetzes sicherstellen - Deutschlandtakt auf den Weg bringen</t>
        </is>
      </c>
      <c r="D30" t="inlineStr">
        <is>
          <t>Überweisung</t>
        </is>
      </c>
      <c r="E30" t="inlineStr"/>
      <c r="F30" s="26" t="n"/>
      <c r="G30" s="26" t="n"/>
      <c r="H30" s="26" t="n"/>
      <c r="I30" s="26" t="n"/>
      <c r="J30" s="26" t="n"/>
      <c r="K30" s="26" t="n"/>
    </row>
    <row r="31">
      <c r="A31" s="25" t="n">
        <v>45849</v>
      </c>
      <c r="B31" t="inlineStr">
        <is>
          <t>289/25</t>
        </is>
      </c>
      <c r="C31" t="inlineStr">
        <is>
          <t>Sechstes Gesetz zur Änderung des Allgemeinen Eisenbahngesetzes</t>
        </is>
      </c>
      <c r="D31" t="inlineStr">
        <is>
          <t>Zustimmung; Entschließung</t>
        </is>
      </c>
      <c r="E31" t="inlineStr"/>
      <c r="F31" s="26" t="n"/>
      <c r="G31" s="26" t="n"/>
      <c r="H31" s="26" t="n"/>
      <c r="I31" s="26" t="n"/>
      <c r="J31" s="26" t="n"/>
      <c r="K31" s="26" t="n"/>
    </row>
    <row r="32">
      <c r="A32" s="25" t="n">
        <v>45834</v>
      </c>
      <c r="B32" t="inlineStr">
        <is>
          <t>21/581</t>
        </is>
      </c>
      <c r="C32" t="inlineStr">
        <is>
          <t>Die Bahn zum Rückgrat klima- und familienfreundlicher Mobilität machen</t>
        </is>
      </c>
      <c r="D32" t="inlineStr">
        <is>
          <t>Überweisung</t>
        </is>
      </c>
      <c r="E32" t="inlineStr"/>
      <c r="F32" s="26" t="n"/>
      <c r="G32" s="26" t="n"/>
      <c r="H32" s="26" t="n"/>
      <c r="I32" s="26" t="n"/>
      <c r="J32" s="26" t="n"/>
      <c r="K32" s="26" t="n"/>
    </row>
    <row r="33">
      <c r="A33" s="25" t="n">
        <v>45834</v>
      </c>
      <c r="B33" t="inlineStr">
        <is>
          <t>21/326, 21/642</t>
        </is>
      </c>
      <c r="C33" t="inlineStr">
        <is>
          <t>Sechstes Gesetz zur Änderung des Allgemeinen Eisenbahngesetzes</t>
        </is>
      </c>
      <c r="D33" t="inlineStr">
        <is>
          <t>Annahme in Ausschussfassung</t>
        </is>
      </c>
      <c r="E33" t="inlineStr"/>
      <c r="F33" s="26" t="n"/>
      <c r="G33" s="26" t="n"/>
      <c r="H33" s="26" t="n"/>
      <c r="I33" s="26" t="n"/>
      <c r="J33" s="26" t="n"/>
      <c r="K33" s="26" t="n"/>
    </row>
    <row r="34">
      <c r="A34" s="25" t="n">
        <v>45834</v>
      </c>
      <c r="B34" t="inlineStr">
        <is>
          <t>21/335</t>
        </is>
      </c>
      <c r="C34" t="inlineStr">
        <is>
          <t>Gesetz zur Änderung des Allgemeinen Eisenbahngesetzes und weiterer Gesetze zur Spezifizierung der Flächenbedarfe der Eisenbahn</t>
        </is>
      </c>
      <c r="D34" t="inlineStr">
        <is>
          <t>Ablehnung der Vorlage</t>
        </is>
      </c>
      <c r="E34" t="inlineStr"/>
      <c r="F34" s="26" t="n"/>
      <c r="G34" s="26" t="n"/>
      <c r="H34" s="26" t="n"/>
      <c r="I34" s="26" t="n"/>
      <c r="J34" s="26" t="n"/>
      <c r="K34" s="26" t="n"/>
    </row>
    <row r="35">
      <c r="A35" s="25" t="n">
        <v>45834</v>
      </c>
      <c r="B35" t="inlineStr">
        <is>
          <t>21/326, 21/642</t>
        </is>
      </c>
      <c r="C35" t="inlineStr">
        <is>
          <t>Sechstes Gesetz zur Änderung des Allgemeinen Eisenbahngesetzes</t>
        </is>
      </c>
      <c r="D35" t="inlineStr">
        <is>
          <t>Annahme in Ausschussfassung</t>
        </is>
      </c>
      <c r="E35" t="inlineStr">
        <is>
          <t>Namentliche Abstimmung</t>
        </is>
      </c>
      <c r="F35" s="26" t="n"/>
      <c r="G35" s="26" t="n"/>
      <c r="H35" s="26" t="n"/>
      <c r="I35" s="26" t="n"/>
      <c r="J35" s="26" t="n"/>
      <c r="K35" s="26" t="n"/>
    </row>
    <row r="36">
      <c r="A36" s="25" t="n">
        <v>45833</v>
      </c>
      <c r="B36" t="inlineStr">
        <is>
          <t>21/326</t>
        </is>
      </c>
      <c r="C36" t="inlineStr">
        <is>
          <t>Sechstes Gesetz zur Änderung des Allgemeinen Eisenbahngesetzes</t>
        </is>
      </c>
      <c r="D36" t="inlineStr">
        <is>
          <t>Änderung des Überweisungsbeschlusses</t>
        </is>
      </c>
      <c r="E36" t="inlineStr"/>
      <c r="F36" s="26" t="n"/>
      <c r="G36" s="26" t="n"/>
      <c r="H36" s="26" t="n"/>
      <c r="I36" s="26" t="n"/>
      <c r="J36" s="26" t="n"/>
      <c r="K36" s="26" t="n"/>
    </row>
    <row r="37">
      <c r="A37" s="25" t="n">
        <v>45813</v>
      </c>
      <c r="B37" t="inlineStr">
        <is>
          <t>21/326</t>
        </is>
      </c>
      <c r="C37" t="inlineStr">
        <is>
          <t>Sechstes Gesetz zur Änderung des Allgemeinen Eisenbahngesetzes</t>
        </is>
      </c>
      <c r="D37" t="inlineStr">
        <is>
          <t>Überweisung</t>
        </is>
      </c>
      <c r="E37" t="inlineStr"/>
      <c r="F37" s="26" t="n"/>
      <c r="G37" s="26" t="n"/>
      <c r="H37" s="26" t="n"/>
      <c r="I37" s="26" t="n"/>
      <c r="J37" s="26" t="n"/>
      <c r="K37" s="26" t="n"/>
    </row>
    <row r="38">
      <c r="A38" s="25" t="n">
        <v>45813</v>
      </c>
      <c r="B38" t="inlineStr">
        <is>
          <t>21/335</t>
        </is>
      </c>
      <c r="C38" t="inlineStr">
        <is>
          <t>Gesetz zur Änderung des Allgemeinen Eisenbahngesetzes und weiterer Gesetze zur Spezifizierung der Flächenbedarfe der Eisenbahn</t>
        </is>
      </c>
      <c r="D38" t="inlineStr">
        <is>
          <t>Überweisung</t>
        </is>
      </c>
      <c r="E38" t="inlineStr"/>
      <c r="F38" s="26" t="n"/>
      <c r="G38" s="26" t="n"/>
      <c r="H38" s="26" t="n"/>
      <c r="I38" s="26" t="n"/>
      <c r="J38" s="26" t="n"/>
      <c r="K38" s="26" t="n"/>
    </row>
    <row r="39">
      <c r="A39" s="25" t="n">
        <v>45372</v>
      </c>
      <c r="B39" t="inlineStr">
        <is>
          <t>20/7350</t>
        </is>
      </c>
      <c r="C39" t="inlineStr">
        <is>
          <t>Schiene in die Zukunft führen - Deutsche Bahn AG neu aufstellen</t>
        </is>
      </c>
      <c r="D39" t="inlineStr">
        <is>
          <t>Ablehnung der Vorlage</t>
        </is>
      </c>
      <c r="E39" t="inlineStr"/>
      <c r="F39" s="26" t="n"/>
      <c r="G39" s="26" t="n"/>
      <c r="H39" s="26" t="n"/>
      <c r="I39" s="26" t="n"/>
      <c r="J39" s="26" t="n"/>
      <c r="K39" s="26" t="n"/>
    </row>
    <row r="40">
      <c r="A40" s="25" t="n">
        <v>45344</v>
      </c>
      <c r="B40" t="inlineStr">
        <is>
          <t>20/7197</t>
        </is>
      </c>
      <c r="C40" t="inlineStr">
        <is>
          <t>Die Deutsche Bahn AG zielgerichtet und wirkungsvoll reformieren</t>
        </is>
      </c>
      <c r="D40" t="inlineStr">
        <is>
          <t>Ablehnung der Vorlage</t>
        </is>
      </c>
      <c r="E40" t="inlineStr"/>
      <c r="F40" s="26" t="n"/>
      <c r="G40" s="26" t="n"/>
      <c r="H40" s="26" t="n"/>
      <c r="I40" s="26" t="n"/>
      <c r="J40" s="26" t="n"/>
      <c r="K40" s="26" t="n"/>
    </row>
    <row r="41">
      <c r="A41" s="25" t="n">
        <v>45198</v>
      </c>
      <c r="B41" t="inlineStr">
        <is>
          <t>466/23</t>
        </is>
      </c>
      <c r="C41" t="inlineStr">
        <is>
          <t>Gesetz zur Stärkung des Klimaschutzes durch eine Beschleunigung des Ausbaus der Schieneninfrastruktur - Klimaschutzbeschleunigungsgesetz Schiene</t>
        </is>
      </c>
      <c r="D41" t="inlineStr">
        <is>
          <t>Einbringung in geänderter Fassung; Bestellung eines Beauftragten</t>
        </is>
      </c>
      <c r="E41" t="inlineStr"/>
      <c r="F41" s="26" t="n"/>
      <c r="G41" s="26" t="n"/>
      <c r="H41" s="26" t="n"/>
      <c r="I41" s="26" t="n"/>
      <c r="J41" s="26" t="n"/>
      <c r="K41" s="26" t="n"/>
    </row>
    <row r="42">
      <c r="A42" s="25" t="n">
        <v>45113</v>
      </c>
      <c r="B42" t="inlineStr">
        <is>
          <t>20/5808</t>
        </is>
      </c>
      <c r="C42" t="inlineStr">
        <is>
          <t>Bundeslagebild zur Kriminalität in Bahnhöfen und Zügen</t>
        </is>
      </c>
      <c r="D42" t="inlineStr">
        <is>
          <t>Ablehnung der Vorlage</t>
        </is>
      </c>
      <c r="E42" t="inlineStr"/>
      <c r="F42" s="26" t="n"/>
      <c r="G42" s="26" t="n"/>
      <c r="H42" s="26" t="n"/>
      <c r="I42" s="26" t="n"/>
      <c r="J42" s="26" t="n"/>
      <c r="K42" s="26" t="n"/>
    </row>
    <row r="43">
      <c r="A43" s="25" t="n">
        <v>45099</v>
      </c>
      <c r="B43" t="inlineStr">
        <is>
          <t>20/7350</t>
        </is>
      </c>
      <c r="C43" t="inlineStr">
        <is>
          <t>Schiene in die Zukunft führen - Deutsche Bahn AG neu aufstellen</t>
        </is>
      </c>
      <c r="D43" t="inlineStr">
        <is>
          <t>Überweisung</t>
        </is>
      </c>
      <c r="E43" t="inlineStr"/>
      <c r="F43" s="26" t="n"/>
      <c r="G43" s="26" t="n"/>
      <c r="H43" s="26" t="n"/>
      <c r="I43" s="26" t="n"/>
      <c r="J43" s="26" t="n"/>
      <c r="K43" s="26" t="n"/>
    </row>
    <row r="44">
      <c r="A44" s="25" t="n">
        <v>45092</v>
      </c>
      <c r="B44" t="inlineStr">
        <is>
          <t>20/6988</t>
        </is>
      </c>
      <c r="C44" t="inlineStr">
        <is>
          <t>Bahn zukunftsfähig aufstellen - Zerschlagung der Deutschen Bahn AG eine Absage erteilen</t>
        </is>
      </c>
      <c r="D44" t="inlineStr">
        <is>
          <t>Überweisung</t>
        </is>
      </c>
      <c r="E44" t="inlineStr"/>
      <c r="F44" s="26" t="n"/>
      <c r="G44" s="26" t="n"/>
      <c r="H44" s="26" t="n"/>
      <c r="I44" s="26" t="n"/>
      <c r="J44" s="26" t="n"/>
      <c r="K44" s="26" t="n"/>
    </row>
    <row r="45">
      <c r="A45" s="25" t="n">
        <v>45092</v>
      </c>
      <c r="B45" t="inlineStr">
        <is>
          <t>20/7197</t>
        </is>
      </c>
      <c r="C45" t="inlineStr">
        <is>
          <t>Die Deutsche Bahn AG zielgerichtet und wirkungsvoll reformieren</t>
        </is>
      </c>
      <c r="D45" t="inlineStr">
        <is>
          <t>Überweisung</t>
        </is>
      </c>
      <c r="E45" t="inlineStr"/>
      <c r="F45" s="26" t="n"/>
      <c r="G45" s="26" t="n"/>
      <c r="H45" s="26" t="n"/>
      <c r="I45" s="26" t="n"/>
      <c r="J45" s="26" t="n"/>
      <c r="K45" s="26" t="n"/>
    </row>
    <row r="46">
      <c r="A46" s="25" t="n">
        <v>45057</v>
      </c>
      <c r="B46" t="inlineStr">
        <is>
          <t>20/6721</t>
        </is>
      </c>
      <c r="C46" t="inlineStr">
        <is>
          <t>Eisenbahn-Investitionen in Westafrika stärker unterstützen - Chancen für die deutsche Bahnindustrie nutzen</t>
        </is>
      </c>
      <c r="D46" t="inlineStr">
        <is>
          <t>Überweisung</t>
        </is>
      </c>
      <c r="E46" t="inlineStr"/>
      <c r="F46" s="26" t="n"/>
      <c r="G46" s="26" t="n"/>
      <c r="H46" s="26" t="n"/>
      <c r="I46" s="26" t="n"/>
      <c r="J46" s="26" t="n"/>
      <c r="K46" s="26" t="n"/>
    </row>
    <row r="47">
      <c r="A47" s="25" t="n">
        <v>44986</v>
      </c>
      <c r="B47" t="inlineStr">
        <is>
          <t>20/5808</t>
        </is>
      </c>
      <c r="C47" t="inlineStr">
        <is>
          <t>Bundeslagebild zur Kriminalität in Bahnhöfen und Zügen</t>
        </is>
      </c>
      <c r="D47" t="inlineStr">
        <is>
          <t>Überweisung</t>
        </is>
      </c>
      <c r="E47" t="inlineStr"/>
      <c r="F47" s="26" t="n"/>
      <c r="G47" s="26" t="n"/>
      <c r="H47" s="26" t="n"/>
      <c r="I47" s="26" t="n"/>
      <c r="J47" s="26" t="n"/>
      <c r="K47" s="26" t="n"/>
    </row>
    <row r="50">
      <c r="A50" s="9" t="inlineStr">
        <is>
          <t>Bilanz je Fraktion</t>
        </is>
      </c>
    </row>
    <row r="51" ht="28" customHeight="1">
      <c r="A51" s="11" t="inlineStr">
        <is>
          <t>Fraktion</t>
        </is>
      </c>
      <c r="B51" s="11" t="inlineStr">
        <is>
          <t>Dafuer</t>
        </is>
      </c>
      <c r="C51" s="11" t="inlineStr">
        <is>
          <t>Dagegen</t>
        </is>
      </c>
      <c r="D51" s="11" t="inlineStr">
        <is>
          <t>Enthaltung</t>
        </is>
      </c>
      <c r="E51" s="11" t="inlineStr">
        <is>
          <t>Abstimmungen gesamt</t>
        </is>
      </c>
    </row>
    <row r="52">
      <c r="A52" s="19" t="inlineStr">
        <is>
          <t>CDU/CSU</t>
        </is>
      </c>
      <c r="B52" s="19">
        <f>COUNTIF($F$5:$F$47,"Dafuer")</f>
        <v/>
      </c>
      <c r="C52" s="19">
        <f>COUNTIF($F$5:$F$47,"Dagegen")</f>
        <v/>
      </c>
      <c r="D52" s="19">
        <f>COUNTIF($F$5:$F$47,"Enthaltung")</f>
        <v/>
      </c>
      <c r="E52" s="19">
        <f>SUM(B52:D52)</f>
        <v/>
      </c>
      <c r="F52" s="19" t="n"/>
      <c r="G52" s="19" t="n"/>
      <c r="H52" s="19" t="n"/>
      <c r="I52" s="19" t="n"/>
      <c r="J52" s="19" t="n"/>
      <c r="K52" s="19" t="n"/>
    </row>
    <row r="53">
      <c r="A53" s="19" t="inlineStr">
        <is>
          <t>SPD</t>
        </is>
      </c>
      <c r="B53" s="19">
        <f>COUNTIF($G$5:$G$47,"Dafuer")</f>
        <v/>
      </c>
      <c r="C53" s="19">
        <f>COUNTIF($G$5:$G$47,"Dagegen")</f>
        <v/>
      </c>
      <c r="D53" s="19">
        <f>COUNTIF($G$5:$G$47,"Enthaltung")</f>
        <v/>
      </c>
      <c r="E53" s="19">
        <f>SUM(B53:D53)</f>
        <v/>
      </c>
      <c r="F53" s="19" t="n"/>
      <c r="G53" s="19" t="n"/>
      <c r="H53" s="19" t="n"/>
      <c r="I53" s="19" t="n"/>
      <c r="J53" s="19" t="n"/>
      <c r="K53" s="19" t="n"/>
    </row>
    <row r="54">
      <c r="A54" s="19" t="inlineStr">
        <is>
          <t>Gruene</t>
        </is>
      </c>
      <c r="B54" s="19">
        <f>COUNTIF($H$5:$H$47,"Dafuer")</f>
        <v/>
      </c>
      <c r="C54" s="19">
        <f>COUNTIF($H$5:$H$47,"Dagegen")</f>
        <v/>
      </c>
      <c r="D54" s="19">
        <f>COUNTIF($H$5:$H$47,"Enthaltung")</f>
        <v/>
      </c>
      <c r="E54" s="19">
        <f>SUM(B54:D54)</f>
        <v/>
      </c>
      <c r="F54" s="19" t="n"/>
      <c r="G54" s="19" t="n"/>
      <c r="H54" s="19" t="n"/>
      <c r="I54" s="19" t="n"/>
      <c r="J54" s="19" t="n"/>
      <c r="K54" s="19" t="n"/>
    </row>
    <row r="55">
      <c r="A55" s="19" t="inlineStr">
        <is>
          <t>FDP</t>
        </is>
      </c>
      <c r="B55" s="19">
        <f>COUNTIF($I$5:$I$47,"Dafuer")</f>
        <v/>
      </c>
      <c r="C55" s="19">
        <f>COUNTIF($I$5:$I$47,"Dagegen")</f>
        <v/>
      </c>
      <c r="D55" s="19">
        <f>COUNTIF($I$5:$I$47,"Enthaltung")</f>
        <v/>
      </c>
      <c r="E55" s="19">
        <f>SUM(B55:D55)</f>
        <v/>
      </c>
      <c r="F55" s="19" t="n"/>
      <c r="G55" s="19" t="n"/>
      <c r="H55" s="19" t="n"/>
      <c r="I55" s="19" t="n"/>
      <c r="J55" s="19" t="n"/>
      <c r="K55" s="19" t="n"/>
    </row>
    <row r="56">
      <c r="A56" s="19" t="inlineStr">
        <is>
          <t>AfD</t>
        </is>
      </c>
      <c r="B56" s="19">
        <f>COUNTIF($J$5:$J$47,"Dafuer")</f>
        <v/>
      </c>
      <c r="C56" s="19">
        <f>COUNTIF($J$5:$J$47,"Dagegen")</f>
        <v/>
      </c>
      <c r="D56" s="19">
        <f>COUNTIF($J$5:$J$47,"Enthaltung")</f>
        <v/>
      </c>
      <c r="E56" s="19">
        <f>SUM(B56:D56)</f>
        <v/>
      </c>
      <c r="F56" s="19" t="n"/>
      <c r="G56" s="19" t="n"/>
      <c r="H56" s="19" t="n"/>
      <c r="I56" s="19" t="n"/>
      <c r="J56" s="19" t="n"/>
      <c r="K56" s="19" t="n"/>
    </row>
    <row r="57">
      <c r="A57" s="19" t="inlineStr">
        <is>
          <t>Linke</t>
        </is>
      </c>
      <c r="B57" s="19">
        <f>COUNTIF($K$5:$K$47,"Dafuer")</f>
        <v/>
      </c>
      <c r="C57" s="19">
        <f>COUNTIF($K$5:$K$47,"Dagegen")</f>
        <v/>
      </c>
      <c r="D57" s="19">
        <f>COUNTIF($K$5:$K$47,"Enthaltung")</f>
        <v/>
      </c>
      <c r="E57" s="19">
        <f>SUM(B57:D57)</f>
        <v/>
      </c>
      <c r="F57" s="19" t="n"/>
      <c r="G57" s="19" t="n"/>
      <c r="H57" s="19" t="n"/>
      <c r="I57" s="19" t="n"/>
      <c r="J57" s="19" t="n"/>
      <c r="K57" s="19" t="n"/>
    </row>
  </sheetData>
  <autoFilter ref="A4:K47"/>
  <mergeCells count="1">
    <mergeCell ref="A2:J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52" customWidth="1" min="6" max="6"/>
    <col hidden="1" width="13" customWidth="1" min="8" max="8"/>
    <col hidden="1" width="13" customWidth="1" min="9" max="9"/>
    <col hidden="1" width="13" customWidth="1" min="10" max="10"/>
    <col hidden="1" width="13" customWidth="1" min="11" max="11"/>
    <col hidden="1" width="13" customWidth="1" min="12" max="12"/>
  </cols>
  <sheetData>
    <row r="1">
      <c r="A1" s="17" t="inlineStr">
        <is>
          <t>Fraktionsprofil: vier messbare Dimensionen</t>
        </is>
      </c>
    </row>
    <row r="2" ht="48" customHeight="1">
      <c r="A2" s="27" t="inlineStr">
        <is>
          <t>Achtung Interpretation: Das sind Aktivitaetsmasse, kein Qualitaetsurteil. Ob eine Anfrage sachkundig oder blosse Symbolpolitik ist, steht in DIP nicht drin und laesst sich aus Metadaten nicht ableiten. Ausserdem koennen Regierungsfraktionen strukturell kaum Kleine Anfragen stellen - niedrige Werte heissen dort nicht Untaetigkeit.</t>
        </is>
      </c>
    </row>
    <row r="4" ht="28" customHeight="1">
      <c r="A4" s="11" t="inlineStr">
        <is>
          <t>Kennzahl</t>
        </is>
      </c>
      <c r="B4" s="11" t="inlineStr">
        <is>
          <t>CDU/CSU</t>
        </is>
      </c>
      <c r="C4" s="11" t="inlineStr">
        <is>
          <t>Gruene</t>
        </is>
      </c>
      <c r="D4" s="11" t="inlineStr">
        <is>
          <t>AfD</t>
        </is>
      </c>
      <c r="E4" s="11" t="inlineStr">
        <is>
          <t>Linke</t>
        </is>
      </c>
      <c r="F4" s="11" t="inlineStr">
        <is>
          <t>Was sie misst</t>
        </is>
      </c>
      <c r="H4" s="22" t="inlineStr">
        <is>
          <t>Hilfsraster Themen</t>
        </is>
      </c>
      <c r="I4" s="22" t="inlineStr">
        <is>
          <t>CDU/CSU</t>
        </is>
      </c>
      <c r="J4" s="22" t="inlineStr">
        <is>
          <t>Gruene</t>
        </is>
      </c>
      <c r="K4" s="22" t="inlineStr">
        <is>
          <t>AfD</t>
        </is>
      </c>
      <c r="L4" s="22" t="inlineStr">
        <is>
          <t>Linke</t>
        </is>
      </c>
    </row>
    <row r="5">
      <c r="A5" s="28" t="inlineStr">
        <is>
          <t>Initiativen gesamt</t>
        </is>
      </c>
      <c r="B5" s="19">
        <f>COUNTIFS(Drucksachen!$F$2:$F$293,I$4,Drucksachen!$E$2:$E$293,"Kleine Anfrage")+COUNTIFS(Drucksachen!$F$2:$F$293,I$4,Drucksachen!$E$2:$E$293,"Antrag")+COUNTIFS(Drucksachen!$F$2:$F$293,I$4,Drucksachen!$E$2:$E$293,"Entschließungsantrag")+COUNTIFS(Drucksachen!$F$2:$F$293,I$4,Drucksachen!$E$2:$E$293,"Gesetzentwurf")</f>
        <v/>
      </c>
      <c r="C5" s="19">
        <f>COUNTIFS(Drucksachen!$F$2:$F$293,J$4,Drucksachen!$E$2:$E$293,"Kleine Anfrage")+COUNTIFS(Drucksachen!$F$2:$F$293,J$4,Drucksachen!$E$2:$E$293,"Antrag")+COUNTIFS(Drucksachen!$F$2:$F$293,J$4,Drucksachen!$E$2:$E$293,"Entschließungsantrag")+COUNTIFS(Drucksachen!$F$2:$F$293,J$4,Drucksachen!$E$2:$E$293,"Gesetzentwurf")</f>
        <v/>
      </c>
      <c r="D5" s="19">
        <f>COUNTIFS(Drucksachen!$F$2:$F$293,K$4,Drucksachen!$E$2:$E$293,"Kleine Anfrage")+COUNTIFS(Drucksachen!$F$2:$F$293,K$4,Drucksachen!$E$2:$E$293,"Antrag")+COUNTIFS(Drucksachen!$F$2:$F$293,K$4,Drucksachen!$E$2:$E$293,"Entschließungsantrag")+COUNTIFS(Drucksachen!$F$2:$F$293,K$4,Drucksachen!$E$2:$E$293,"Gesetzentwurf")</f>
        <v/>
      </c>
      <c r="E5" s="19">
        <f>COUNTIFS(Drucksachen!$F$2:$F$293,L$4,Drucksachen!$E$2:$E$293,"Kleine Anfrage")+COUNTIFS(Drucksachen!$F$2:$F$293,L$4,Drucksachen!$E$2:$E$293,"Antrag")+COUNTIFS(Drucksachen!$F$2:$F$293,L$4,Drucksachen!$E$2:$E$293,"Entschließungsantrag")+COUNTIFS(Drucksachen!$F$2:$F$293,L$4,Drucksachen!$E$2:$E$293,"Gesetzentwurf")</f>
        <v/>
      </c>
      <c r="F5" s="29" t="inlineStr">
        <is>
          <t>Wie viel eine Fraktion ueberhaupt einbringt</t>
        </is>
      </c>
      <c r="G5" s="19" t="n"/>
      <c r="H5" s="19" t="inlineStr">
        <is>
          <t>Bahnhoefe</t>
        </is>
      </c>
      <c r="I5" s="19">
        <f>IF(SUMPRODUCT(ISNUMBER(SEARCH($H5,Drucksachen!$I$2:$I$293))*(Drucksachen!$F$2:$F$293=I$4))&gt;0,1,0)</f>
        <v/>
      </c>
      <c r="J5" s="19">
        <f>IF(SUMPRODUCT(ISNUMBER(SEARCH($H5,Drucksachen!$I$2:$I$293))*(Drucksachen!$F$2:$F$293=J$4))&gt;0,1,0)</f>
        <v/>
      </c>
      <c r="K5" s="19">
        <f>IF(SUMPRODUCT(ISNUMBER(SEARCH($H5,Drucksachen!$I$2:$I$293))*(Drucksachen!$F$2:$F$293=K$4))&gt;0,1,0)</f>
        <v/>
      </c>
      <c r="L5" s="19">
        <f>IF(SUMPRODUCT(ISNUMBER(SEARCH($H5,Drucksachen!$I$2:$I$293))*(Drucksachen!$F$2:$F$293=L$4))&gt;0,1,0)</f>
        <v/>
      </c>
    </row>
    <row r="6">
      <c r="A6" s="28" t="inlineStr">
        <is>
          <t>davon abstimmungsfaehig</t>
        </is>
      </c>
      <c r="B6" s="19">
        <f>COUNTIFS(Drucksachen!$F$2:$F$293,I$4,Drucksachen!$E$2:$E$293,"Antrag")+COUNTIFS(Drucksachen!$F$2:$F$293,I$4,Drucksachen!$E$2:$E$293,"Entschließungsantrag")+COUNTIFS(Drucksachen!$F$2:$F$293,I$4,Drucksachen!$E$2:$E$293,"Gesetzentwurf")</f>
        <v/>
      </c>
      <c r="C6" s="19">
        <f>COUNTIFS(Drucksachen!$F$2:$F$293,J$4,Drucksachen!$E$2:$E$293,"Antrag")+COUNTIFS(Drucksachen!$F$2:$F$293,J$4,Drucksachen!$E$2:$E$293,"Entschließungsantrag")+COUNTIFS(Drucksachen!$F$2:$F$293,J$4,Drucksachen!$E$2:$E$293,"Gesetzentwurf")</f>
        <v/>
      </c>
      <c r="D6" s="19">
        <f>COUNTIFS(Drucksachen!$F$2:$F$293,K$4,Drucksachen!$E$2:$E$293,"Antrag")+COUNTIFS(Drucksachen!$F$2:$F$293,K$4,Drucksachen!$E$2:$E$293,"Entschließungsantrag")+COUNTIFS(Drucksachen!$F$2:$F$293,K$4,Drucksachen!$E$2:$E$293,"Gesetzentwurf")</f>
        <v/>
      </c>
      <c r="E6" s="19">
        <f>COUNTIFS(Drucksachen!$F$2:$F$293,L$4,Drucksachen!$E$2:$E$293,"Antrag")+COUNTIFS(Drucksachen!$F$2:$F$293,L$4,Drucksachen!$E$2:$E$293,"Entschließungsantrag")+COUNTIFS(Drucksachen!$F$2:$F$293,L$4,Drucksachen!$E$2:$E$293,"Gesetzentwurf")</f>
        <v/>
      </c>
      <c r="F6" s="29" t="inlineStr">
        <is>
          <t>Gestaltung statt blosser Kontrolle: Antraege und Gesetzentwuerfe</t>
        </is>
      </c>
      <c r="G6" s="19" t="n"/>
      <c r="H6" s="19" t="inlineStr">
        <is>
          <t>Kriminalitaet</t>
        </is>
      </c>
      <c r="I6" s="19">
        <f>IF(SUMPRODUCT(ISNUMBER(SEARCH($H6,Drucksachen!$I$2:$I$293))*(Drucksachen!$F$2:$F$293=I$4))&gt;0,1,0)</f>
        <v/>
      </c>
      <c r="J6" s="19">
        <f>IF(SUMPRODUCT(ISNUMBER(SEARCH($H6,Drucksachen!$I$2:$I$293))*(Drucksachen!$F$2:$F$293=J$4))&gt;0,1,0)</f>
        <v/>
      </c>
      <c r="K6" s="19">
        <f>IF(SUMPRODUCT(ISNUMBER(SEARCH($H6,Drucksachen!$I$2:$I$293))*(Drucksachen!$F$2:$F$293=K$4))&gt;0,1,0)</f>
        <v/>
      </c>
      <c r="L6" s="19">
        <f>IF(SUMPRODUCT(ISNUMBER(SEARCH($H6,Drucksachen!$I$2:$I$293))*(Drucksachen!$F$2:$F$293=L$4))&gt;0,1,0)</f>
        <v/>
      </c>
    </row>
    <row r="7">
      <c r="A7" s="28" t="inlineStr">
        <is>
          <t>Themenbreite</t>
        </is>
      </c>
      <c r="B7" s="19">
        <f>SUM(I$5:I$18)</f>
        <v/>
      </c>
      <c r="C7" s="19">
        <f>SUM(J$5:J$18)</f>
        <v/>
      </c>
      <c r="D7" s="19">
        <f>SUM(K$5:K$18)</f>
        <v/>
      </c>
      <c r="E7" s="19">
        <f>SUM(L$5:L$18)</f>
        <v/>
      </c>
      <c r="F7" s="29" t="inlineStr">
        <is>
          <t>Wie viele der 14 Sachthemen beruehrt werden</t>
        </is>
      </c>
      <c r="G7" s="19" t="n"/>
      <c r="H7" s="19" t="inlineStr">
        <is>
          <t>Sonstiges</t>
        </is>
      </c>
      <c r="I7" s="19">
        <f>IF(SUMPRODUCT(ISNUMBER(SEARCH($H7,Drucksachen!$I$2:$I$293))*(Drucksachen!$F$2:$F$293=I$4))&gt;0,1,0)</f>
        <v/>
      </c>
      <c r="J7" s="19">
        <f>IF(SUMPRODUCT(ISNUMBER(SEARCH($H7,Drucksachen!$I$2:$I$293))*(Drucksachen!$F$2:$F$293=J$4))&gt;0,1,0)</f>
        <v/>
      </c>
      <c r="K7" s="19">
        <f>IF(SUMPRODUCT(ISNUMBER(SEARCH($H7,Drucksachen!$I$2:$I$293))*(Drucksachen!$F$2:$F$293=K$4))&gt;0,1,0)</f>
        <v/>
      </c>
      <c r="L7" s="19">
        <f>IF(SUMPRODUCT(ISNUMBER(SEARCH($H7,Drucksachen!$I$2:$I$293))*(Drucksachen!$F$2:$F$293=L$4))&gt;0,1,0)</f>
        <v/>
      </c>
    </row>
    <row r="8">
      <c r="A8" s="28" t="inlineStr">
        <is>
          <t>Aktive Quartale</t>
        </is>
      </c>
      <c r="B8" s="19">
        <f>SUM(I$21:I$40)</f>
        <v/>
      </c>
      <c r="C8" s="19">
        <f>SUM(J$21:J$40)</f>
        <v/>
      </c>
      <c r="D8" s="19">
        <f>SUM(K$21:K$40)</f>
        <v/>
      </c>
      <c r="E8" s="19">
        <f>SUM(L$21:L$40)</f>
        <v/>
      </c>
      <c r="F8" s="29" t="inlineStr">
        <is>
          <t>Beharrlichkeit: Quartale mit Aktivitaet, von 20</t>
        </is>
      </c>
      <c r="G8" s="19" t="n"/>
      <c r="H8" s="19" t="inlineStr">
        <is>
          <t>Infrastruktur/Netz</t>
        </is>
      </c>
      <c r="I8" s="19">
        <f>IF(SUMPRODUCT(ISNUMBER(SEARCH($H8,Drucksachen!$I$2:$I$293))*(Drucksachen!$F$2:$F$293=I$4))&gt;0,1,0)</f>
        <v/>
      </c>
      <c r="J8" s="19">
        <f>IF(SUMPRODUCT(ISNUMBER(SEARCH($H8,Drucksachen!$I$2:$I$293))*(Drucksachen!$F$2:$F$293=J$4))&gt;0,1,0)</f>
        <v/>
      </c>
      <c r="K8" s="19">
        <f>IF(SUMPRODUCT(ISNUMBER(SEARCH($H8,Drucksachen!$I$2:$I$293))*(Drucksachen!$F$2:$F$293=K$4))&gt;0,1,0)</f>
        <v/>
      </c>
      <c r="L8" s="19">
        <f>IF(SUMPRODUCT(ISNUMBER(SEARCH($H8,Drucksachen!$I$2:$I$293))*(Drucksachen!$F$2:$F$293=L$4))&gt;0,1,0)</f>
        <v/>
      </c>
    </row>
    <row r="9">
      <c r="A9" s="19" t="n"/>
      <c r="B9" s="19" t="n"/>
      <c r="C9" s="19" t="n"/>
      <c r="D9" s="19" t="n"/>
      <c r="E9" s="19" t="n"/>
      <c r="F9" s="19" t="n"/>
      <c r="G9" s="19" t="n"/>
      <c r="H9" s="19" t="inlineStr">
        <is>
          <t>Konzernstruktur/DB AG</t>
        </is>
      </c>
      <c r="I9" s="19">
        <f>IF(SUMPRODUCT(ISNUMBER(SEARCH($H9,Drucksachen!$I$2:$I$293))*(Drucksachen!$F$2:$F$293=I$4))&gt;0,1,0)</f>
        <v/>
      </c>
      <c r="J9" s="19">
        <f>IF(SUMPRODUCT(ISNUMBER(SEARCH($H9,Drucksachen!$I$2:$I$293))*(Drucksachen!$F$2:$F$293=J$4))&gt;0,1,0)</f>
        <v/>
      </c>
      <c r="K9" s="19">
        <f>IF(SUMPRODUCT(ISNUMBER(SEARCH($H9,Drucksachen!$I$2:$I$293))*(Drucksachen!$F$2:$F$293=K$4))&gt;0,1,0)</f>
        <v/>
      </c>
      <c r="L9" s="19">
        <f>IF(SUMPRODUCT(ISNUMBER(SEARCH($H9,Drucksachen!$I$2:$I$293))*(Drucksachen!$F$2:$F$293=L$4))&gt;0,1,0)</f>
        <v/>
      </c>
    </row>
    <row r="10">
      <c r="A10" s="19" t="n"/>
      <c r="B10" s="19" t="n"/>
      <c r="C10" s="19" t="n"/>
      <c r="D10" s="19" t="n"/>
      <c r="E10" s="19" t="n"/>
      <c r="F10" s="19" t="n"/>
      <c r="G10" s="19" t="n"/>
      <c r="H10" s="19" t="inlineStr">
        <is>
          <t>Sicherheit</t>
        </is>
      </c>
      <c r="I10" s="19">
        <f>IF(SUMPRODUCT(ISNUMBER(SEARCH($H10,Drucksachen!$I$2:$I$293))*(Drucksachen!$F$2:$F$293=I$4))&gt;0,1,0)</f>
        <v/>
      </c>
      <c r="J10" s="19">
        <f>IF(SUMPRODUCT(ISNUMBER(SEARCH($H10,Drucksachen!$I$2:$I$293))*(Drucksachen!$F$2:$F$293=J$4))&gt;0,1,0)</f>
        <v/>
      </c>
      <c r="K10" s="19">
        <f>IF(SUMPRODUCT(ISNUMBER(SEARCH($H10,Drucksachen!$I$2:$I$293))*(Drucksachen!$F$2:$F$293=K$4))&gt;0,1,0)</f>
        <v/>
      </c>
      <c r="L10" s="19">
        <f>IF(SUMPRODUCT(ISNUMBER(SEARCH($H10,Drucksachen!$I$2:$I$293))*(Drucksachen!$F$2:$F$293=L$4))&gt;0,1,0)</f>
        <v/>
      </c>
    </row>
    <row r="11">
      <c r="A11" s="30" t="inlineStr">
        <is>
          <t>Normiert (Spitzenreiter je Zeile = 100)</t>
        </is>
      </c>
      <c r="B11" s="19" t="n"/>
      <c r="C11" s="19" t="n"/>
      <c r="D11" s="19" t="n"/>
      <c r="E11" s="19" t="n"/>
      <c r="F11" s="19" t="n"/>
      <c r="G11" s="19" t="n"/>
      <c r="H11" s="19" t="inlineStr">
        <is>
          <t>Finanzierung</t>
        </is>
      </c>
      <c r="I11" s="19">
        <f>IF(SUMPRODUCT(ISNUMBER(SEARCH($H11,Drucksachen!$I$2:$I$293))*(Drucksachen!$F$2:$F$293=I$4))&gt;0,1,0)</f>
        <v/>
      </c>
      <c r="J11" s="19">
        <f>IF(SUMPRODUCT(ISNUMBER(SEARCH($H11,Drucksachen!$I$2:$I$293))*(Drucksachen!$F$2:$F$293=J$4))&gt;0,1,0)</f>
        <v/>
      </c>
      <c r="K11" s="19">
        <f>IF(SUMPRODUCT(ISNUMBER(SEARCH($H11,Drucksachen!$I$2:$I$293))*(Drucksachen!$F$2:$F$293=K$4))&gt;0,1,0)</f>
        <v/>
      </c>
      <c r="L11" s="19">
        <f>IF(SUMPRODUCT(ISNUMBER(SEARCH($H11,Drucksachen!$I$2:$I$293))*(Drucksachen!$F$2:$F$293=L$4))&gt;0,1,0)</f>
        <v/>
      </c>
    </row>
    <row r="12" ht="28" customHeight="1">
      <c r="A12" s="11" t="inlineStr">
        <is>
          <t>Kennzahl</t>
        </is>
      </c>
      <c r="B12" s="11" t="inlineStr">
        <is>
          <t>CDU/CSU</t>
        </is>
      </c>
      <c r="C12" s="11" t="inlineStr">
        <is>
          <t>Gruene</t>
        </is>
      </c>
      <c r="D12" s="11" t="inlineStr">
        <is>
          <t>AfD</t>
        </is>
      </c>
      <c r="E12" s="11" t="inlineStr">
        <is>
          <t>Linke</t>
        </is>
      </c>
      <c r="F12" s="19" t="n"/>
      <c r="G12" s="19" t="n"/>
      <c r="H12" s="19" t="inlineStr">
        <is>
          <t>Puenktlichkeit/Qualitaet</t>
        </is>
      </c>
      <c r="I12" s="19">
        <f>IF(SUMPRODUCT(ISNUMBER(SEARCH($H12,Drucksachen!$I$2:$I$293))*(Drucksachen!$F$2:$F$293=I$4))&gt;0,1,0)</f>
        <v/>
      </c>
      <c r="J12" s="19">
        <f>IF(SUMPRODUCT(ISNUMBER(SEARCH($H12,Drucksachen!$I$2:$I$293))*(Drucksachen!$F$2:$F$293=J$4))&gt;0,1,0)</f>
        <v/>
      </c>
      <c r="K12" s="19">
        <f>IF(SUMPRODUCT(ISNUMBER(SEARCH($H12,Drucksachen!$I$2:$I$293))*(Drucksachen!$F$2:$F$293=K$4))&gt;0,1,0)</f>
        <v/>
      </c>
      <c r="L12" s="19">
        <f>IF(SUMPRODUCT(ISNUMBER(SEARCH($H12,Drucksachen!$I$2:$I$293))*(Drucksachen!$F$2:$F$293=L$4))&gt;0,1,0)</f>
        <v/>
      </c>
    </row>
    <row r="13">
      <c r="A13" s="19" t="inlineStr">
        <is>
          <t>Initiativen gesamt</t>
        </is>
      </c>
      <c r="B13" s="19">
        <f>IFERROR(ROUND(B5/MAX($B$5:$E$5)*100,0),0)</f>
        <v/>
      </c>
      <c r="C13" s="19">
        <f>IFERROR(ROUND(C5/MAX($B$5:$E$5)*100,0),0)</f>
        <v/>
      </c>
      <c r="D13" s="19">
        <f>IFERROR(ROUND(D5/MAX($B$5:$E$5)*100,0),0)</f>
        <v/>
      </c>
      <c r="E13" s="19">
        <f>IFERROR(ROUND(E5/MAX($B$5:$E$5)*100,0),0)</f>
        <v/>
      </c>
      <c r="F13" s="19" t="n"/>
      <c r="G13" s="19" t="n"/>
      <c r="H13" s="19" t="inlineStr">
        <is>
          <t>Barrierefreiheit</t>
        </is>
      </c>
      <c r="I13" s="19">
        <f>IF(SUMPRODUCT(ISNUMBER(SEARCH($H13,Drucksachen!$I$2:$I$293))*(Drucksachen!$F$2:$F$293=I$4))&gt;0,1,0)</f>
        <v/>
      </c>
      <c r="J13" s="19">
        <f>IF(SUMPRODUCT(ISNUMBER(SEARCH($H13,Drucksachen!$I$2:$I$293))*(Drucksachen!$F$2:$F$293=J$4))&gt;0,1,0)</f>
        <v/>
      </c>
      <c r="K13" s="19">
        <f>IF(SUMPRODUCT(ISNUMBER(SEARCH($H13,Drucksachen!$I$2:$I$293))*(Drucksachen!$F$2:$F$293=K$4))&gt;0,1,0)</f>
        <v/>
      </c>
      <c r="L13" s="19">
        <f>IF(SUMPRODUCT(ISNUMBER(SEARCH($H13,Drucksachen!$I$2:$I$293))*(Drucksachen!$F$2:$F$293=L$4))&gt;0,1,0)</f>
        <v/>
      </c>
    </row>
    <row r="14">
      <c r="A14" s="19" t="inlineStr">
        <is>
          <t>davon abstimmungsfaehig</t>
        </is>
      </c>
      <c r="B14" s="19">
        <f>IFERROR(ROUND(B6/MAX($B$6:$E$6)*100,0),0)</f>
        <v/>
      </c>
      <c r="C14" s="19">
        <f>IFERROR(ROUND(C6/MAX($B$6:$E$6)*100,0),0)</f>
        <v/>
      </c>
      <c r="D14" s="19">
        <f>IFERROR(ROUND(D6/MAX($B$6:$E$6)*100,0),0)</f>
        <v/>
      </c>
      <c r="E14" s="19">
        <f>IFERROR(ROUND(E6/MAX($B$6:$E$6)*100,0),0)</f>
        <v/>
      </c>
      <c r="F14" s="19" t="n"/>
      <c r="G14" s="19" t="n"/>
      <c r="H14" s="19" t="inlineStr">
        <is>
          <t>Deutschlandticket</t>
        </is>
      </c>
      <c r="I14" s="19">
        <f>IF(SUMPRODUCT(ISNUMBER(SEARCH($H14,Drucksachen!$I$2:$I$293))*(Drucksachen!$F$2:$F$293=I$4))&gt;0,1,0)</f>
        <v/>
      </c>
      <c r="J14" s="19">
        <f>IF(SUMPRODUCT(ISNUMBER(SEARCH($H14,Drucksachen!$I$2:$I$293))*(Drucksachen!$F$2:$F$293=J$4))&gt;0,1,0)</f>
        <v/>
      </c>
      <c r="K14" s="19">
        <f>IF(SUMPRODUCT(ISNUMBER(SEARCH($H14,Drucksachen!$I$2:$I$293))*(Drucksachen!$F$2:$F$293=K$4))&gt;0,1,0)</f>
        <v/>
      </c>
      <c r="L14" s="19">
        <f>IF(SUMPRODUCT(ISNUMBER(SEARCH($H14,Drucksachen!$I$2:$I$293))*(Drucksachen!$F$2:$F$293=L$4))&gt;0,1,0)</f>
        <v/>
      </c>
    </row>
    <row r="15">
      <c r="A15" s="19" t="inlineStr">
        <is>
          <t>Themenbreite</t>
        </is>
      </c>
      <c r="B15" s="19">
        <f>IFERROR(ROUND(B7/MAX($B$7:$E$7)*100,0),0)</f>
        <v/>
      </c>
      <c r="C15" s="19">
        <f>IFERROR(ROUND(C7/MAX($B$7:$E$7)*100,0),0)</f>
        <v/>
      </c>
      <c r="D15" s="19">
        <f>IFERROR(ROUND(D7/MAX($B$7:$E$7)*100,0),0)</f>
        <v/>
      </c>
      <c r="E15" s="19">
        <f>IFERROR(ROUND(E7/MAX($B$7:$E$7)*100,0),0)</f>
        <v/>
      </c>
      <c r="F15" s="19" t="n"/>
      <c r="G15" s="19" t="n"/>
      <c r="H15" s="19" t="inlineStr">
        <is>
          <t>Nahverkehr/SPNV</t>
        </is>
      </c>
      <c r="I15" s="19">
        <f>IF(SUMPRODUCT(ISNUMBER(SEARCH($H15,Drucksachen!$I$2:$I$293))*(Drucksachen!$F$2:$F$293=I$4))&gt;0,1,0)</f>
        <v/>
      </c>
      <c r="J15" s="19">
        <f>IF(SUMPRODUCT(ISNUMBER(SEARCH($H15,Drucksachen!$I$2:$I$293))*(Drucksachen!$F$2:$F$293=J$4))&gt;0,1,0)</f>
        <v/>
      </c>
      <c r="K15" s="19">
        <f>IF(SUMPRODUCT(ISNUMBER(SEARCH($H15,Drucksachen!$I$2:$I$293))*(Drucksachen!$F$2:$F$293=K$4))&gt;0,1,0)</f>
        <v/>
      </c>
      <c r="L15" s="19">
        <f>IF(SUMPRODUCT(ISNUMBER(SEARCH($H15,Drucksachen!$I$2:$I$293))*(Drucksachen!$F$2:$F$293=L$4))&gt;0,1,0)</f>
        <v/>
      </c>
    </row>
    <row r="16">
      <c r="A16" s="19" t="inlineStr">
        <is>
          <t>Aktive Quartale</t>
        </is>
      </c>
      <c r="B16" s="19">
        <f>IFERROR(ROUND(B8/MAX($B$8:$E$8)*100,0),0)</f>
        <v/>
      </c>
      <c r="C16" s="19">
        <f>IFERROR(ROUND(C8/MAX($B$8:$E$8)*100,0),0)</f>
        <v/>
      </c>
      <c r="D16" s="19">
        <f>IFERROR(ROUND(D8/MAX($B$8:$E$8)*100,0),0)</f>
        <v/>
      </c>
      <c r="E16" s="19">
        <f>IFERROR(ROUND(E8/MAX($B$8:$E$8)*100,0),0)</f>
        <v/>
      </c>
      <c r="F16" s="19" t="n"/>
      <c r="G16" s="19" t="n"/>
      <c r="H16" s="19" t="inlineStr">
        <is>
          <t>Deutschlandtakt/Fahrplan</t>
        </is>
      </c>
      <c r="I16" s="19">
        <f>IF(SUMPRODUCT(ISNUMBER(SEARCH($H16,Drucksachen!$I$2:$I$293))*(Drucksachen!$F$2:$F$293=I$4))&gt;0,1,0)</f>
        <v/>
      </c>
      <c r="J16" s="19">
        <f>IF(SUMPRODUCT(ISNUMBER(SEARCH($H16,Drucksachen!$I$2:$I$293))*(Drucksachen!$F$2:$F$293=J$4))&gt;0,1,0)</f>
        <v/>
      </c>
      <c r="K16" s="19">
        <f>IF(SUMPRODUCT(ISNUMBER(SEARCH($H16,Drucksachen!$I$2:$I$293))*(Drucksachen!$F$2:$F$293=K$4))&gt;0,1,0)</f>
        <v/>
      </c>
      <c r="L16" s="19">
        <f>IF(SUMPRODUCT(ISNUMBER(SEARCH($H16,Drucksachen!$I$2:$I$293))*(Drucksachen!$F$2:$F$293=L$4))&gt;0,1,0)</f>
        <v/>
      </c>
    </row>
    <row r="17">
      <c r="A17" s="19" t="n"/>
      <c r="B17" s="19" t="n"/>
      <c r="C17" s="19" t="n"/>
      <c r="D17" s="19" t="n"/>
      <c r="E17" s="19" t="n"/>
      <c r="F17" s="19" t="n"/>
      <c r="G17" s="19" t="n"/>
      <c r="H17" s="19" t="inlineStr">
        <is>
          <t>Personal</t>
        </is>
      </c>
      <c r="I17" s="19">
        <f>IF(SUMPRODUCT(ISNUMBER(SEARCH($H17,Drucksachen!$I$2:$I$293))*(Drucksachen!$F$2:$F$293=I$4))&gt;0,1,0)</f>
        <v/>
      </c>
      <c r="J17" s="19">
        <f>IF(SUMPRODUCT(ISNUMBER(SEARCH($H17,Drucksachen!$I$2:$I$293))*(Drucksachen!$F$2:$F$293=J$4))&gt;0,1,0)</f>
        <v/>
      </c>
      <c r="K17" s="19">
        <f>IF(SUMPRODUCT(ISNUMBER(SEARCH($H17,Drucksachen!$I$2:$I$293))*(Drucksachen!$F$2:$F$293=K$4))&gt;0,1,0)</f>
        <v/>
      </c>
      <c r="L17" s="19">
        <f>IF(SUMPRODUCT(ISNUMBER(SEARCH($H17,Drucksachen!$I$2:$I$293))*(Drucksachen!$F$2:$F$293=L$4))&gt;0,1,0)</f>
        <v/>
      </c>
    </row>
    <row r="18">
      <c r="A18" s="19" t="n"/>
      <c r="B18" s="19" t="n"/>
      <c r="C18" s="19" t="n"/>
      <c r="D18" s="19" t="n"/>
      <c r="E18" s="19" t="n"/>
      <c r="F18" s="19" t="n"/>
      <c r="G18" s="19" t="n"/>
      <c r="H18" s="19" t="inlineStr">
        <is>
          <t>Gueterverkehr</t>
        </is>
      </c>
      <c r="I18" s="19">
        <f>IF(SUMPRODUCT(ISNUMBER(SEARCH($H18,Drucksachen!$I$2:$I$293))*(Drucksachen!$F$2:$F$293=I$4))&gt;0,1,0)</f>
        <v/>
      </c>
      <c r="J18" s="19">
        <f>IF(SUMPRODUCT(ISNUMBER(SEARCH($H18,Drucksachen!$I$2:$I$293))*(Drucksachen!$F$2:$F$293=J$4))&gt;0,1,0)</f>
        <v/>
      </c>
      <c r="K18" s="19">
        <f>IF(SUMPRODUCT(ISNUMBER(SEARCH($H18,Drucksachen!$I$2:$I$293))*(Drucksachen!$F$2:$F$293=K$4))&gt;0,1,0)</f>
        <v/>
      </c>
      <c r="L18" s="19">
        <f>IF(SUMPRODUCT(ISNUMBER(SEARCH($H18,Drucksachen!$I$2:$I$293))*(Drucksachen!$F$2:$F$293=L$4))&gt;0,1,0)</f>
        <v/>
      </c>
    </row>
    <row r="19">
      <c r="A19" s="19" t="n"/>
      <c r="B19" s="19" t="n"/>
      <c r="C19" s="19" t="n"/>
      <c r="D19" s="19" t="n"/>
      <c r="E19" s="19" t="n"/>
      <c r="F19" s="19" t="n"/>
      <c r="G19" s="19" t="n"/>
      <c r="H19" s="19" t="n"/>
      <c r="I19" s="19" t="n"/>
      <c r="J19" s="19" t="n"/>
      <c r="K19" s="19" t="n"/>
      <c r="L19" s="19" t="n"/>
    </row>
    <row r="20">
      <c r="A20" s="19" t="n"/>
      <c r="B20" s="19" t="n"/>
      <c r="C20" s="19" t="n"/>
      <c r="D20" s="19" t="n"/>
      <c r="E20" s="19" t="n"/>
      <c r="F20" s="19" t="n"/>
      <c r="G20" s="19" t="n"/>
      <c r="H20" s="22" t="inlineStr">
        <is>
          <t>Hilfsraster Quartale</t>
        </is>
      </c>
      <c r="I20" s="19" t="n"/>
      <c r="J20" s="19" t="n"/>
      <c r="K20" s="19" t="n"/>
      <c r="L20" s="19" t="n"/>
    </row>
    <row r="21">
      <c r="A21" s="19" t="n"/>
      <c r="B21" s="19" t="n"/>
      <c r="C21" s="19" t="n"/>
      <c r="D21" s="19" t="n"/>
      <c r="E21" s="19" t="n"/>
      <c r="F21" s="19" t="n"/>
      <c r="G21" s="19" t="n"/>
      <c r="H21" s="19" t="inlineStr">
        <is>
          <t>2021-Q4</t>
        </is>
      </c>
      <c r="I21" s="19">
        <f>IF(COUNTIFS(Drucksachen!$C$2:$C$293,$H21,Drucksachen!$F$2:$F$293,I$4)&gt;0,1,0)</f>
        <v/>
      </c>
      <c r="J21" s="19">
        <f>IF(COUNTIFS(Drucksachen!$C$2:$C$293,$H21,Drucksachen!$F$2:$F$293,J$4)&gt;0,1,0)</f>
        <v/>
      </c>
      <c r="K21" s="19">
        <f>IF(COUNTIFS(Drucksachen!$C$2:$C$293,$H21,Drucksachen!$F$2:$F$293,K$4)&gt;0,1,0)</f>
        <v/>
      </c>
      <c r="L21" s="19">
        <f>IF(COUNTIFS(Drucksachen!$C$2:$C$293,$H21,Drucksachen!$F$2:$F$293,L$4)&gt;0,1,0)</f>
        <v/>
      </c>
    </row>
    <row r="22">
      <c r="A22" s="19" t="n"/>
      <c r="B22" s="19" t="n"/>
      <c r="C22" s="19" t="n"/>
      <c r="D22" s="19" t="n"/>
      <c r="E22" s="19" t="n"/>
      <c r="F22" s="19" t="n"/>
      <c r="G22" s="19" t="n"/>
      <c r="H22" s="19" t="inlineStr">
        <is>
          <t>2022-Q1</t>
        </is>
      </c>
      <c r="I22" s="19">
        <f>IF(COUNTIFS(Drucksachen!$C$2:$C$293,$H22,Drucksachen!$F$2:$F$293,I$4)&gt;0,1,0)</f>
        <v/>
      </c>
      <c r="J22" s="19">
        <f>IF(COUNTIFS(Drucksachen!$C$2:$C$293,$H22,Drucksachen!$F$2:$F$293,J$4)&gt;0,1,0)</f>
        <v/>
      </c>
      <c r="K22" s="19">
        <f>IF(COUNTIFS(Drucksachen!$C$2:$C$293,$H22,Drucksachen!$F$2:$F$293,K$4)&gt;0,1,0)</f>
        <v/>
      </c>
      <c r="L22" s="19">
        <f>IF(COUNTIFS(Drucksachen!$C$2:$C$293,$H22,Drucksachen!$F$2:$F$293,L$4)&gt;0,1,0)</f>
        <v/>
      </c>
    </row>
    <row r="23">
      <c r="A23" s="19" t="n"/>
      <c r="B23" s="19" t="n"/>
      <c r="C23" s="19" t="n"/>
      <c r="D23" s="19" t="n"/>
      <c r="E23" s="19" t="n"/>
      <c r="F23" s="19" t="n"/>
      <c r="G23" s="19" t="n"/>
      <c r="H23" s="19" t="inlineStr">
        <is>
          <t>2022-Q2</t>
        </is>
      </c>
      <c r="I23" s="19">
        <f>IF(COUNTIFS(Drucksachen!$C$2:$C$293,$H23,Drucksachen!$F$2:$F$293,I$4)&gt;0,1,0)</f>
        <v/>
      </c>
      <c r="J23" s="19">
        <f>IF(COUNTIFS(Drucksachen!$C$2:$C$293,$H23,Drucksachen!$F$2:$F$293,J$4)&gt;0,1,0)</f>
        <v/>
      </c>
      <c r="K23" s="19">
        <f>IF(COUNTIFS(Drucksachen!$C$2:$C$293,$H23,Drucksachen!$F$2:$F$293,K$4)&gt;0,1,0)</f>
        <v/>
      </c>
      <c r="L23" s="19">
        <f>IF(COUNTIFS(Drucksachen!$C$2:$C$293,$H23,Drucksachen!$F$2:$F$293,L$4)&gt;0,1,0)</f>
        <v/>
      </c>
    </row>
    <row r="24">
      <c r="A24" s="19" t="n"/>
      <c r="B24" s="19" t="n"/>
      <c r="C24" s="19" t="n"/>
      <c r="D24" s="19" t="n"/>
      <c r="E24" s="19" t="n"/>
      <c r="F24" s="19" t="n"/>
      <c r="G24" s="19" t="n"/>
      <c r="H24" s="19" t="inlineStr">
        <is>
          <t>2022-Q3</t>
        </is>
      </c>
      <c r="I24" s="19">
        <f>IF(COUNTIFS(Drucksachen!$C$2:$C$293,$H24,Drucksachen!$F$2:$F$293,I$4)&gt;0,1,0)</f>
        <v/>
      </c>
      <c r="J24" s="19">
        <f>IF(COUNTIFS(Drucksachen!$C$2:$C$293,$H24,Drucksachen!$F$2:$F$293,J$4)&gt;0,1,0)</f>
        <v/>
      </c>
      <c r="K24" s="19">
        <f>IF(COUNTIFS(Drucksachen!$C$2:$C$293,$H24,Drucksachen!$F$2:$F$293,K$4)&gt;0,1,0)</f>
        <v/>
      </c>
      <c r="L24" s="19">
        <f>IF(COUNTIFS(Drucksachen!$C$2:$C$293,$H24,Drucksachen!$F$2:$F$293,L$4)&gt;0,1,0)</f>
        <v/>
      </c>
    </row>
    <row r="25">
      <c r="A25" s="19" t="n"/>
      <c r="B25" s="19" t="n"/>
      <c r="C25" s="19" t="n"/>
      <c r="D25" s="19" t="n"/>
      <c r="E25" s="19" t="n"/>
      <c r="F25" s="19" t="n"/>
      <c r="G25" s="19" t="n"/>
      <c r="H25" s="19" t="inlineStr">
        <is>
          <t>2022-Q4</t>
        </is>
      </c>
      <c r="I25" s="19">
        <f>IF(COUNTIFS(Drucksachen!$C$2:$C$293,$H25,Drucksachen!$F$2:$F$293,I$4)&gt;0,1,0)</f>
        <v/>
      </c>
      <c r="J25" s="19">
        <f>IF(COUNTIFS(Drucksachen!$C$2:$C$293,$H25,Drucksachen!$F$2:$F$293,J$4)&gt;0,1,0)</f>
        <v/>
      </c>
      <c r="K25" s="19">
        <f>IF(COUNTIFS(Drucksachen!$C$2:$C$293,$H25,Drucksachen!$F$2:$F$293,K$4)&gt;0,1,0)</f>
        <v/>
      </c>
      <c r="L25" s="19">
        <f>IF(COUNTIFS(Drucksachen!$C$2:$C$293,$H25,Drucksachen!$F$2:$F$293,L$4)&gt;0,1,0)</f>
        <v/>
      </c>
    </row>
    <row r="26">
      <c r="A26" s="19" t="n"/>
      <c r="B26" s="19" t="n"/>
      <c r="C26" s="19" t="n"/>
      <c r="D26" s="19" t="n"/>
      <c r="E26" s="19" t="n"/>
      <c r="F26" s="19" t="n"/>
      <c r="G26" s="19" t="n"/>
      <c r="H26" s="19" t="inlineStr">
        <is>
          <t>2023-Q1</t>
        </is>
      </c>
      <c r="I26" s="19">
        <f>IF(COUNTIFS(Drucksachen!$C$2:$C$293,$H26,Drucksachen!$F$2:$F$293,I$4)&gt;0,1,0)</f>
        <v/>
      </c>
      <c r="J26" s="19">
        <f>IF(COUNTIFS(Drucksachen!$C$2:$C$293,$H26,Drucksachen!$F$2:$F$293,J$4)&gt;0,1,0)</f>
        <v/>
      </c>
      <c r="K26" s="19">
        <f>IF(COUNTIFS(Drucksachen!$C$2:$C$293,$H26,Drucksachen!$F$2:$F$293,K$4)&gt;0,1,0)</f>
        <v/>
      </c>
      <c r="L26" s="19">
        <f>IF(COUNTIFS(Drucksachen!$C$2:$C$293,$H26,Drucksachen!$F$2:$F$293,L$4)&gt;0,1,0)</f>
        <v/>
      </c>
    </row>
    <row r="27">
      <c r="A27" s="19" t="n"/>
      <c r="B27" s="19" t="n"/>
      <c r="C27" s="19" t="n"/>
      <c r="D27" s="19" t="n"/>
      <c r="E27" s="19" t="n"/>
      <c r="F27" s="19" t="n"/>
      <c r="G27" s="19" t="n"/>
      <c r="H27" s="19" t="inlineStr">
        <is>
          <t>2023-Q2</t>
        </is>
      </c>
      <c r="I27" s="19">
        <f>IF(COUNTIFS(Drucksachen!$C$2:$C$293,$H27,Drucksachen!$F$2:$F$293,I$4)&gt;0,1,0)</f>
        <v/>
      </c>
      <c r="J27" s="19">
        <f>IF(COUNTIFS(Drucksachen!$C$2:$C$293,$H27,Drucksachen!$F$2:$F$293,J$4)&gt;0,1,0)</f>
        <v/>
      </c>
      <c r="K27" s="19">
        <f>IF(COUNTIFS(Drucksachen!$C$2:$C$293,$H27,Drucksachen!$F$2:$F$293,K$4)&gt;0,1,0)</f>
        <v/>
      </c>
      <c r="L27" s="19">
        <f>IF(COUNTIFS(Drucksachen!$C$2:$C$293,$H27,Drucksachen!$F$2:$F$293,L$4)&gt;0,1,0)</f>
        <v/>
      </c>
    </row>
    <row r="28">
      <c r="A28" s="19" t="n"/>
      <c r="B28" s="19" t="n"/>
      <c r="C28" s="19" t="n"/>
      <c r="D28" s="19" t="n"/>
      <c r="E28" s="19" t="n"/>
      <c r="F28" s="19" t="n"/>
      <c r="G28" s="19" t="n"/>
      <c r="H28" s="19" t="inlineStr">
        <is>
          <t>2023-Q3</t>
        </is>
      </c>
      <c r="I28" s="19">
        <f>IF(COUNTIFS(Drucksachen!$C$2:$C$293,$H28,Drucksachen!$F$2:$F$293,I$4)&gt;0,1,0)</f>
        <v/>
      </c>
      <c r="J28" s="19">
        <f>IF(COUNTIFS(Drucksachen!$C$2:$C$293,$H28,Drucksachen!$F$2:$F$293,J$4)&gt;0,1,0)</f>
        <v/>
      </c>
      <c r="K28" s="19">
        <f>IF(COUNTIFS(Drucksachen!$C$2:$C$293,$H28,Drucksachen!$F$2:$F$293,K$4)&gt;0,1,0)</f>
        <v/>
      </c>
      <c r="L28" s="19">
        <f>IF(COUNTIFS(Drucksachen!$C$2:$C$293,$H28,Drucksachen!$F$2:$F$293,L$4)&gt;0,1,0)</f>
        <v/>
      </c>
    </row>
    <row r="29">
      <c r="A29" s="19" t="n"/>
      <c r="B29" s="19" t="n"/>
      <c r="C29" s="19" t="n"/>
      <c r="D29" s="19" t="n"/>
      <c r="E29" s="19" t="n"/>
      <c r="F29" s="19" t="n"/>
      <c r="G29" s="19" t="n"/>
      <c r="H29" s="19" t="inlineStr">
        <is>
          <t>2023-Q4</t>
        </is>
      </c>
      <c r="I29" s="19">
        <f>IF(COUNTIFS(Drucksachen!$C$2:$C$293,$H29,Drucksachen!$F$2:$F$293,I$4)&gt;0,1,0)</f>
        <v/>
      </c>
      <c r="J29" s="19">
        <f>IF(COUNTIFS(Drucksachen!$C$2:$C$293,$H29,Drucksachen!$F$2:$F$293,J$4)&gt;0,1,0)</f>
        <v/>
      </c>
      <c r="K29" s="19">
        <f>IF(COUNTIFS(Drucksachen!$C$2:$C$293,$H29,Drucksachen!$F$2:$F$293,K$4)&gt;0,1,0)</f>
        <v/>
      </c>
      <c r="L29" s="19">
        <f>IF(COUNTIFS(Drucksachen!$C$2:$C$293,$H29,Drucksachen!$F$2:$F$293,L$4)&gt;0,1,0)</f>
        <v/>
      </c>
    </row>
    <row r="30">
      <c r="A30" s="19" t="n"/>
      <c r="B30" s="19" t="n"/>
      <c r="C30" s="19" t="n"/>
      <c r="D30" s="19" t="n"/>
      <c r="E30" s="19" t="n"/>
      <c r="F30" s="19" t="n"/>
      <c r="G30" s="19" t="n"/>
      <c r="H30" s="19" t="inlineStr">
        <is>
          <t>2024-Q1</t>
        </is>
      </c>
      <c r="I30" s="19">
        <f>IF(COUNTIFS(Drucksachen!$C$2:$C$293,$H30,Drucksachen!$F$2:$F$293,I$4)&gt;0,1,0)</f>
        <v/>
      </c>
      <c r="J30" s="19">
        <f>IF(COUNTIFS(Drucksachen!$C$2:$C$293,$H30,Drucksachen!$F$2:$F$293,J$4)&gt;0,1,0)</f>
        <v/>
      </c>
      <c r="K30" s="19">
        <f>IF(COUNTIFS(Drucksachen!$C$2:$C$293,$H30,Drucksachen!$F$2:$F$293,K$4)&gt;0,1,0)</f>
        <v/>
      </c>
      <c r="L30" s="19">
        <f>IF(COUNTIFS(Drucksachen!$C$2:$C$293,$H30,Drucksachen!$F$2:$F$293,L$4)&gt;0,1,0)</f>
        <v/>
      </c>
    </row>
    <row r="31">
      <c r="A31" s="19" t="n"/>
      <c r="B31" s="19" t="n"/>
      <c r="C31" s="19" t="n"/>
      <c r="D31" s="19" t="n"/>
      <c r="E31" s="19" t="n"/>
      <c r="F31" s="19" t="n"/>
      <c r="G31" s="19" t="n"/>
      <c r="H31" s="19" t="inlineStr">
        <is>
          <t>2024-Q2</t>
        </is>
      </c>
      <c r="I31" s="19">
        <f>IF(COUNTIFS(Drucksachen!$C$2:$C$293,$H31,Drucksachen!$F$2:$F$293,I$4)&gt;0,1,0)</f>
        <v/>
      </c>
      <c r="J31" s="19">
        <f>IF(COUNTIFS(Drucksachen!$C$2:$C$293,$H31,Drucksachen!$F$2:$F$293,J$4)&gt;0,1,0)</f>
        <v/>
      </c>
      <c r="K31" s="19">
        <f>IF(COUNTIFS(Drucksachen!$C$2:$C$293,$H31,Drucksachen!$F$2:$F$293,K$4)&gt;0,1,0)</f>
        <v/>
      </c>
      <c r="L31" s="19">
        <f>IF(COUNTIFS(Drucksachen!$C$2:$C$293,$H31,Drucksachen!$F$2:$F$293,L$4)&gt;0,1,0)</f>
        <v/>
      </c>
    </row>
    <row r="32">
      <c r="A32" s="19" t="n"/>
      <c r="B32" s="19" t="n"/>
      <c r="C32" s="19" t="n"/>
      <c r="D32" s="19" t="n"/>
      <c r="E32" s="19" t="n"/>
      <c r="F32" s="19" t="n"/>
      <c r="G32" s="19" t="n"/>
      <c r="H32" s="19" t="inlineStr">
        <is>
          <t>2024-Q3</t>
        </is>
      </c>
      <c r="I32" s="19">
        <f>IF(COUNTIFS(Drucksachen!$C$2:$C$293,$H32,Drucksachen!$F$2:$F$293,I$4)&gt;0,1,0)</f>
        <v/>
      </c>
      <c r="J32" s="19">
        <f>IF(COUNTIFS(Drucksachen!$C$2:$C$293,$H32,Drucksachen!$F$2:$F$293,J$4)&gt;0,1,0)</f>
        <v/>
      </c>
      <c r="K32" s="19">
        <f>IF(COUNTIFS(Drucksachen!$C$2:$C$293,$H32,Drucksachen!$F$2:$F$293,K$4)&gt;0,1,0)</f>
        <v/>
      </c>
      <c r="L32" s="19">
        <f>IF(COUNTIFS(Drucksachen!$C$2:$C$293,$H32,Drucksachen!$F$2:$F$293,L$4)&gt;0,1,0)</f>
        <v/>
      </c>
    </row>
    <row r="33">
      <c r="A33" s="19" t="n"/>
      <c r="B33" s="19" t="n"/>
      <c r="C33" s="19" t="n"/>
      <c r="D33" s="19" t="n"/>
      <c r="E33" s="19" t="n"/>
      <c r="F33" s="19" t="n"/>
      <c r="G33" s="19" t="n"/>
      <c r="H33" s="19" t="inlineStr">
        <is>
          <t>2024-Q4</t>
        </is>
      </c>
      <c r="I33" s="19">
        <f>IF(COUNTIFS(Drucksachen!$C$2:$C$293,$H33,Drucksachen!$F$2:$F$293,I$4)&gt;0,1,0)</f>
        <v/>
      </c>
      <c r="J33" s="19">
        <f>IF(COUNTIFS(Drucksachen!$C$2:$C$293,$H33,Drucksachen!$F$2:$F$293,J$4)&gt;0,1,0)</f>
        <v/>
      </c>
      <c r="K33" s="19">
        <f>IF(COUNTIFS(Drucksachen!$C$2:$C$293,$H33,Drucksachen!$F$2:$F$293,K$4)&gt;0,1,0)</f>
        <v/>
      </c>
      <c r="L33" s="19">
        <f>IF(COUNTIFS(Drucksachen!$C$2:$C$293,$H33,Drucksachen!$F$2:$F$293,L$4)&gt;0,1,0)</f>
        <v/>
      </c>
    </row>
    <row r="34">
      <c r="A34" s="19" t="n"/>
      <c r="B34" s="19" t="n"/>
      <c r="C34" s="19" t="n"/>
      <c r="D34" s="19" t="n"/>
      <c r="E34" s="19" t="n"/>
      <c r="F34" s="19" t="n"/>
      <c r="G34" s="19" t="n"/>
      <c r="H34" s="19" t="inlineStr">
        <is>
          <t>2025-Q1</t>
        </is>
      </c>
      <c r="I34" s="19">
        <f>IF(COUNTIFS(Drucksachen!$C$2:$C$293,$H34,Drucksachen!$F$2:$F$293,I$4)&gt;0,1,0)</f>
        <v/>
      </c>
      <c r="J34" s="19">
        <f>IF(COUNTIFS(Drucksachen!$C$2:$C$293,$H34,Drucksachen!$F$2:$F$293,J$4)&gt;0,1,0)</f>
        <v/>
      </c>
      <c r="K34" s="19">
        <f>IF(COUNTIFS(Drucksachen!$C$2:$C$293,$H34,Drucksachen!$F$2:$F$293,K$4)&gt;0,1,0)</f>
        <v/>
      </c>
      <c r="L34" s="19">
        <f>IF(COUNTIFS(Drucksachen!$C$2:$C$293,$H34,Drucksachen!$F$2:$F$293,L$4)&gt;0,1,0)</f>
        <v/>
      </c>
    </row>
    <row r="35">
      <c r="A35" s="19" t="n"/>
      <c r="B35" s="19" t="n"/>
      <c r="C35" s="19" t="n"/>
      <c r="D35" s="19" t="n"/>
      <c r="E35" s="19" t="n"/>
      <c r="F35" s="19" t="n"/>
      <c r="G35" s="19" t="n"/>
      <c r="H35" s="19" t="inlineStr">
        <is>
          <t>2025-Q2</t>
        </is>
      </c>
      <c r="I35" s="19">
        <f>IF(COUNTIFS(Drucksachen!$C$2:$C$293,$H35,Drucksachen!$F$2:$F$293,I$4)&gt;0,1,0)</f>
        <v/>
      </c>
      <c r="J35" s="19">
        <f>IF(COUNTIFS(Drucksachen!$C$2:$C$293,$H35,Drucksachen!$F$2:$F$293,J$4)&gt;0,1,0)</f>
        <v/>
      </c>
      <c r="K35" s="19">
        <f>IF(COUNTIFS(Drucksachen!$C$2:$C$293,$H35,Drucksachen!$F$2:$F$293,K$4)&gt;0,1,0)</f>
        <v/>
      </c>
      <c r="L35" s="19">
        <f>IF(COUNTIFS(Drucksachen!$C$2:$C$293,$H35,Drucksachen!$F$2:$F$293,L$4)&gt;0,1,0)</f>
        <v/>
      </c>
    </row>
    <row r="36">
      <c r="A36" s="19" t="n"/>
      <c r="B36" s="19" t="n"/>
      <c r="C36" s="19" t="n"/>
      <c r="D36" s="19" t="n"/>
      <c r="E36" s="19" t="n"/>
      <c r="F36" s="19" t="n"/>
      <c r="G36" s="19" t="n"/>
      <c r="H36" s="19" t="inlineStr">
        <is>
          <t>2025-Q3</t>
        </is>
      </c>
      <c r="I36" s="19">
        <f>IF(COUNTIFS(Drucksachen!$C$2:$C$293,$H36,Drucksachen!$F$2:$F$293,I$4)&gt;0,1,0)</f>
        <v/>
      </c>
      <c r="J36" s="19">
        <f>IF(COUNTIFS(Drucksachen!$C$2:$C$293,$H36,Drucksachen!$F$2:$F$293,J$4)&gt;0,1,0)</f>
        <v/>
      </c>
      <c r="K36" s="19">
        <f>IF(COUNTIFS(Drucksachen!$C$2:$C$293,$H36,Drucksachen!$F$2:$F$293,K$4)&gt;0,1,0)</f>
        <v/>
      </c>
      <c r="L36" s="19">
        <f>IF(COUNTIFS(Drucksachen!$C$2:$C$293,$H36,Drucksachen!$F$2:$F$293,L$4)&gt;0,1,0)</f>
        <v/>
      </c>
    </row>
    <row r="37">
      <c r="A37" s="19" t="n"/>
      <c r="B37" s="19" t="n"/>
      <c r="C37" s="19" t="n"/>
      <c r="D37" s="19" t="n"/>
      <c r="E37" s="19" t="n"/>
      <c r="F37" s="19" t="n"/>
      <c r="G37" s="19" t="n"/>
      <c r="H37" s="19" t="inlineStr">
        <is>
          <t>2025-Q4</t>
        </is>
      </c>
      <c r="I37" s="19">
        <f>IF(COUNTIFS(Drucksachen!$C$2:$C$293,$H37,Drucksachen!$F$2:$F$293,I$4)&gt;0,1,0)</f>
        <v/>
      </c>
      <c r="J37" s="19">
        <f>IF(COUNTIFS(Drucksachen!$C$2:$C$293,$H37,Drucksachen!$F$2:$F$293,J$4)&gt;0,1,0)</f>
        <v/>
      </c>
      <c r="K37" s="19">
        <f>IF(COUNTIFS(Drucksachen!$C$2:$C$293,$H37,Drucksachen!$F$2:$F$293,K$4)&gt;0,1,0)</f>
        <v/>
      </c>
      <c r="L37" s="19">
        <f>IF(COUNTIFS(Drucksachen!$C$2:$C$293,$H37,Drucksachen!$F$2:$F$293,L$4)&gt;0,1,0)</f>
        <v/>
      </c>
    </row>
    <row r="38">
      <c r="A38" s="19" t="n"/>
      <c r="B38" s="19" t="n"/>
      <c r="C38" s="19" t="n"/>
      <c r="D38" s="19" t="n"/>
      <c r="E38" s="19" t="n"/>
      <c r="F38" s="19" t="n"/>
      <c r="G38" s="19" t="n"/>
      <c r="H38" s="19" t="inlineStr">
        <is>
          <t>2026-Q1</t>
        </is>
      </c>
      <c r="I38" s="19">
        <f>IF(COUNTIFS(Drucksachen!$C$2:$C$293,$H38,Drucksachen!$F$2:$F$293,I$4)&gt;0,1,0)</f>
        <v/>
      </c>
      <c r="J38" s="19">
        <f>IF(COUNTIFS(Drucksachen!$C$2:$C$293,$H38,Drucksachen!$F$2:$F$293,J$4)&gt;0,1,0)</f>
        <v/>
      </c>
      <c r="K38" s="19">
        <f>IF(COUNTIFS(Drucksachen!$C$2:$C$293,$H38,Drucksachen!$F$2:$F$293,K$4)&gt;0,1,0)</f>
        <v/>
      </c>
      <c r="L38" s="19">
        <f>IF(COUNTIFS(Drucksachen!$C$2:$C$293,$H38,Drucksachen!$F$2:$F$293,L$4)&gt;0,1,0)</f>
        <v/>
      </c>
    </row>
    <row r="39">
      <c r="A39" s="19" t="n"/>
      <c r="B39" s="19" t="n"/>
      <c r="C39" s="19" t="n"/>
      <c r="D39" s="19" t="n"/>
      <c r="E39" s="19" t="n"/>
      <c r="F39" s="19" t="n"/>
      <c r="G39" s="19" t="n"/>
      <c r="H39" s="19" t="inlineStr">
        <is>
          <t>2026-Q2</t>
        </is>
      </c>
      <c r="I39" s="19">
        <f>IF(COUNTIFS(Drucksachen!$C$2:$C$293,$H39,Drucksachen!$F$2:$F$293,I$4)&gt;0,1,0)</f>
        <v/>
      </c>
      <c r="J39" s="19">
        <f>IF(COUNTIFS(Drucksachen!$C$2:$C$293,$H39,Drucksachen!$F$2:$F$293,J$4)&gt;0,1,0)</f>
        <v/>
      </c>
      <c r="K39" s="19">
        <f>IF(COUNTIFS(Drucksachen!$C$2:$C$293,$H39,Drucksachen!$F$2:$F$293,K$4)&gt;0,1,0)</f>
        <v/>
      </c>
      <c r="L39" s="19">
        <f>IF(COUNTIFS(Drucksachen!$C$2:$C$293,$H39,Drucksachen!$F$2:$F$293,L$4)&gt;0,1,0)</f>
        <v/>
      </c>
    </row>
    <row r="40">
      <c r="A40" s="19" t="n"/>
      <c r="B40" s="19" t="n"/>
      <c r="C40" s="19" t="n"/>
      <c r="D40" s="19" t="n"/>
      <c r="E40" s="19" t="n"/>
      <c r="F40" s="19" t="n"/>
      <c r="G40" s="19" t="n"/>
      <c r="H40" s="19" t="inlineStr">
        <is>
          <t>2026-Q3</t>
        </is>
      </c>
      <c r="I40" s="19">
        <f>IF(COUNTIFS(Drucksachen!$C$2:$C$293,$H40,Drucksachen!$F$2:$F$293,I$4)&gt;0,1,0)</f>
        <v/>
      </c>
      <c r="J40" s="19">
        <f>IF(COUNTIFS(Drucksachen!$C$2:$C$293,$H40,Drucksachen!$F$2:$F$293,J$4)&gt;0,1,0)</f>
        <v/>
      </c>
      <c r="K40" s="19">
        <f>IF(COUNTIFS(Drucksachen!$C$2:$C$293,$H40,Drucksachen!$F$2:$F$293,K$4)&gt;0,1,0)</f>
        <v/>
      </c>
      <c r="L40" s="19">
        <f>IF(COUNTIFS(Drucksachen!$C$2:$C$293,$H40,Drucksachen!$F$2:$F$293,L$4)&gt;0,1,0)</f>
        <v/>
      </c>
    </row>
  </sheetData>
  <mergeCells count="1">
    <mergeCell ref="A2:H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cols>
    <col width="38" customWidth="1" min="1" max="1"/>
    <col width="11" customWidth="1" min="2" max="2"/>
    <col width="14" customWidth="1" min="3" max="3"/>
    <col width="14" customWidth="1" min="4" max="4"/>
    <col width="14" customWidth="1" min="5" max="5"/>
    <col width="14" customWidth="1" min="6" max="6"/>
    <col width="46" customWidth="1" min="7" max="7"/>
    <col hidden="1" width="13" customWidth="1" min="8" max="8"/>
    <col hidden="1" width="13" customWidth="1" min="9" max="9"/>
    <col hidden="1" width="13" customWidth="1" min="10" max="10"/>
    <col hidden="1" width="13" customWidth="1" min="11" max="11"/>
    <col hidden="1" width="13" customWidth="1" min="12" max="12"/>
  </cols>
  <sheetData>
    <row r="1">
      <c r="A1" s="17" t="inlineStr">
        <is>
          <t>Bewertung: wem ist die Schiene wichtig</t>
        </is>
      </c>
    </row>
    <row r="2" ht="62" customHeight="1">
      <c r="A2" s="27" t="inlineStr">
        <is>
          <t>Zwei Verzerrungen, die dieses Blatt NICHT herausrechnen kann. Erstens: Oppositionsfraktionen koennen keine Gesetze durchbringen, fuer sie ist der abgelehnte Antrag oft das einzige verfuegbare Mittel. Zweitens: Regierungsfraktionen brauchen gar keine Antraege, sie machen Politik ueber das Ministerium und sind in DIP deshalb strukturell unsichtbar. Ein niedriger Wert heisst dort nicht Desinteresse. Vergleiche deshalb nur innerhalb derselben Rolle, die Spalte steht unten dabei.</t>
        </is>
      </c>
    </row>
    <row r="4">
      <c r="A4" s="30" t="inlineStr">
        <is>
          <t>Schritt 1: gezaehlt, ohne Wertung</t>
        </is>
      </c>
    </row>
    <row r="5" ht="28" customHeight="1">
      <c r="A5" s="11" t="inlineStr">
        <is>
          <t>Zaehlung</t>
        </is>
      </c>
      <c r="B5" s="11" t="inlineStr">
        <is>
          <t>CDU/CSU</t>
        </is>
      </c>
      <c r="C5" s="11" t="inlineStr">
        <is>
          <t>Gruene</t>
        </is>
      </c>
      <c r="D5" s="11" t="inlineStr">
        <is>
          <t>AfD</t>
        </is>
      </c>
      <c r="E5" s="11" t="inlineStr">
        <is>
          <t>Linke</t>
        </is>
      </c>
      <c r="F5" s="11" t="inlineStr">
        <is>
          <t>Bezugsgroesse</t>
        </is>
      </c>
      <c r="H5" s="22" t="inlineStr">
        <is>
          <t>Hilfsraster</t>
        </is>
      </c>
      <c r="I5" s="22" t="inlineStr">
        <is>
          <t>CDU/CSU</t>
        </is>
      </c>
      <c r="J5" s="22" t="inlineStr">
        <is>
          <t>Gruene</t>
        </is>
      </c>
      <c r="K5" s="22" t="inlineStr">
        <is>
          <t>AfD</t>
        </is>
      </c>
      <c r="L5" s="22" t="inlineStr">
        <is>
          <t>Linke</t>
        </is>
      </c>
    </row>
    <row r="6">
      <c r="A6" s="19" t="inlineStr">
        <is>
          <t>Eigene Initiativen</t>
        </is>
      </c>
      <c r="B6" s="19">
        <f>COUNTIFS(Drucksachen!$F$2:$F$293,B$5,Drucksachen!$E$2:$E$293,"Kleine Anfrage")+COUNTIFS(Drucksachen!$F$2:$F$293,B$5,Drucksachen!$E$2:$E$293,"Antrag")+COUNTIFS(Drucksachen!$F$2:$F$293,B$5,Drucksachen!$E$2:$E$293,"Entschließungsantrag")+COUNTIFS(Drucksachen!$F$2:$F$293,B$5,Drucksachen!$E$2:$E$293,"Gesetzentwurf")</f>
        <v/>
      </c>
      <c r="C6" s="19">
        <f>COUNTIFS(Drucksachen!$F$2:$F$293,C$5,Drucksachen!$E$2:$E$293,"Kleine Anfrage")+COUNTIFS(Drucksachen!$F$2:$F$293,C$5,Drucksachen!$E$2:$E$293,"Antrag")+COUNTIFS(Drucksachen!$F$2:$F$293,C$5,Drucksachen!$E$2:$E$293,"Entschließungsantrag")+COUNTIFS(Drucksachen!$F$2:$F$293,C$5,Drucksachen!$E$2:$E$293,"Gesetzentwurf")</f>
        <v/>
      </c>
      <c r="D6" s="19">
        <f>COUNTIFS(Drucksachen!$F$2:$F$293,D$5,Drucksachen!$E$2:$E$293,"Kleine Anfrage")+COUNTIFS(Drucksachen!$F$2:$F$293,D$5,Drucksachen!$E$2:$E$293,"Antrag")+COUNTIFS(Drucksachen!$F$2:$F$293,D$5,Drucksachen!$E$2:$E$293,"Entschließungsantrag")+COUNTIFS(Drucksachen!$F$2:$F$293,D$5,Drucksachen!$E$2:$E$293,"Gesetzentwurf")</f>
        <v/>
      </c>
      <c r="E6" s="19">
        <f>COUNTIFS(Drucksachen!$F$2:$F$293,E$5,Drucksachen!$E$2:$E$293,"Kleine Anfrage")+COUNTIFS(Drucksachen!$F$2:$F$293,E$5,Drucksachen!$E$2:$E$293,"Antrag")+COUNTIFS(Drucksachen!$F$2:$F$293,E$5,Drucksachen!$E$2:$E$293,"Entschließungsantrag")+COUNTIFS(Drucksachen!$F$2:$F$293,E$5,Drucksachen!$E$2:$E$293,"Gesetzentwurf")</f>
        <v/>
      </c>
      <c r="F6" s="29" t="inlineStr">
        <is>
          <t>Anzahl</t>
        </is>
      </c>
      <c r="G6" s="19" t="n"/>
      <c r="H6" s="19" t="inlineStr">
        <is>
          <t>Bahnhoefe</t>
        </is>
      </c>
      <c r="I6" s="19">
        <f>IF(SUMPRODUCT(ISNUMBER(SEARCH($H6,Drucksachen!$I$2:$I$293))*(Drucksachen!$F$2:$F$293=I$5)*(COUNTIF(Themen!$K$5:$K$8,Drucksachen!$E$2:$E$293)&gt;0))&gt;0,1,0)</f>
        <v/>
      </c>
      <c r="J6" s="19">
        <f>IF(SUMPRODUCT(ISNUMBER(SEARCH($H6,Drucksachen!$I$2:$I$293))*(Drucksachen!$F$2:$F$293=J$5)*(COUNTIF(Themen!$K$5:$K$8,Drucksachen!$E$2:$E$293)&gt;0))&gt;0,1,0)</f>
        <v/>
      </c>
      <c r="K6" s="19">
        <f>IF(SUMPRODUCT(ISNUMBER(SEARCH($H6,Drucksachen!$I$2:$I$293))*(Drucksachen!$F$2:$F$293=K$5)*(COUNTIF(Themen!$K$5:$K$8,Drucksachen!$E$2:$E$293)&gt;0))&gt;0,1,0)</f>
        <v/>
      </c>
      <c r="L6" s="19">
        <f>IF(SUMPRODUCT(ISNUMBER(SEARCH($H6,Drucksachen!$I$2:$I$293))*(Drucksachen!$F$2:$F$293=L$5)*(COUNTIF(Themen!$K$5:$K$8,Drucksachen!$E$2:$E$293)&gt;0))&gt;0,1,0)</f>
        <v/>
      </c>
    </row>
    <row r="7">
      <c r="A7" s="19" t="inlineStr">
        <is>
          <t>davon Antraege und Gesetzentwuerfe</t>
        </is>
      </c>
      <c r="B7" s="19">
        <f>COUNTIFS(Drucksachen!$F$2:$F$293,B$5,Drucksachen!$E$2:$E$293,"Antrag")+COUNTIFS(Drucksachen!$F$2:$F$293,B$5,Drucksachen!$E$2:$E$293,"Entschließungsantrag")+COUNTIFS(Drucksachen!$F$2:$F$293,B$5,Drucksachen!$E$2:$E$293,"Gesetzentwurf")</f>
        <v/>
      </c>
      <c r="C7" s="19">
        <f>COUNTIFS(Drucksachen!$F$2:$F$293,C$5,Drucksachen!$E$2:$E$293,"Antrag")+COUNTIFS(Drucksachen!$F$2:$F$293,C$5,Drucksachen!$E$2:$E$293,"Entschließungsantrag")+COUNTIFS(Drucksachen!$F$2:$F$293,C$5,Drucksachen!$E$2:$E$293,"Gesetzentwurf")</f>
        <v/>
      </c>
      <c r="D7" s="19">
        <f>COUNTIFS(Drucksachen!$F$2:$F$293,D$5,Drucksachen!$E$2:$E$293,"Antrag")+COUNTIFS(Drucksachen!$F$2:$F$293,D$5,Drucksachen!$E$2:$E$293,"Entschließungsantrag")+COUNTIFS(Drucksachen!$F$2:$F$293,D$5,Drucksachen!$E$2:$E$293,"Gesetzentwurf")</f>
        <v/>
      </c>
      <c r="E7" s="19">
        <f>COUNTIFS(Drucksachen!$F$2:$F$293,E$5,Drucksachen!$E$2:$E$293,"Antrag")+COUNTIFS(Drucksachen!$F$2:$F$293,E$5,Drucksachen!$E$2:$E$293,"Entschließungsantrag")+COUNTIFS(Drucksachen!$F$2:$F$293,E$5,Drucksachen!$E$2:$E$293,"Gesetzentwurf")</f>
        <v/>
      </c>
      <c r="F7" s="29" t="inlineStr">
        <is>
          <t>Anzahl</t>
        </is>
      </c>
      <c r="G7" s="19" t="n"/>
      <c r="H7" s="19" t="inlineStr">
        <is>
          <t>Kriminalitaet</t>
        </is>
      </c>
      <c r="I7" s="19">
        <f>IF(SUMPRODUCT(ISNUMBER(SEARCH($H7,Drucksachen!$I$2:$I$293))*(Drucksachen!$F$2:$F$293=I$5)*(COUNTIF(Themen!$K$5:$K$8,Drucksachen!$E$2:$E$293)&gt;0))&gt;0,1,0)</f>
        <v/>
      </c>
      <c r="J7" s="19">
        <f>IF(SUMPRODUCT(ISNUMBER(SEARCH($H7,Drucksachen!$I$2:$I$293))*(Drucksachen!$F$2:$F$293=J$5)*(COUNTIF(Themen!$K$5:$K$8,Drucksachen!$E$2:$E$293)&gt;0))&gt;0,1,0)</f>
        <v/>
      </c>
      <c r="K7" s="19">
        <f>IF(SUMPRODUCT(ISNUMBER(SEARCH($H7,Drucksachen!$I$2:$I$293))*(Drucksachen!$F$2:$F$293=K$5)*(COUNTIF(Themen!$K$5:$K$8,Drucksachen!$E$2:$E$293)&gt;0))&gt;0,1,0)</f>
        <v/>
      </c>
      <c r="L7" s="19">
        <f>IF(SUMPRODUCT(ISNUMBER(SEARCH($H7,Drucksachen!$I$2:$I$293))*(Drucksachen!$F$2:$F$293=L$5)*(COUNTIF(Themen!$K$5:$K$8,Drucksachen!$E$2:$E$293)&gt;0))&gt;0,1,0)</f>
        <v/>
      </c>
    </row>
    <row r="8">
      <c r="A8" s="19" t="inlineStr">
        <is>
          <t>davon zur Abstimmung gelangt</t>
        </is>
      </c>
      <c r="B8" s="19">
        <f>COUNTIFS(Drucksachen!$F$2:$F$293,B$5,Drucksachen!$E$2:$E$293,"Antrag",Drucksachen!$R$2:$R$293,1)+COUNTIFS(Drucksachen!$F$2:$F$293,B$5,Drucksachen!$E$2:$E$293,"Entschließungsantrag",Drucksachen!$R$2:$R$293,1)+COUNTIFS(Drucksachen!$F$2:$F$293,B$5,Drucksachen!$E$2:$E$293,"Gesetzentwurf",Drucksachen!$R$2:$R$293,1)</f>
        <v/>
      </c>
      <c r="C8" s="19">
        <f>COUNTIFS(Drucksachen!$F$2:$F$293,C$5,Drucksachen!$E$2:$E$293,"Antrag",Drucksachen!$R$2:$R$293,1)+COUNTIFS(Drucksachen!$F$2:$F$293,C$5,Drucksachen!$E$2:$E$293,"Entschließungsantrag",Drucksachen!$R$2:$R$293,1)+COUNTIFS(Drucksachen!$F$2:$F$293,C$5,Drucksachen!$E$2:$E$293,"Gesetzentwurf",Drucksachen!$R$2:$R$293,1)</f>
        <v/>
      </c>
      <c r="D8" s="19">
        <f>COUNTIFS(Drucksachen!$F$2:$F$293,D$5,Drucksachen!$E$2:$E$293,"Antrag",Drucksachen!$R$2:$R$293,1)+COUNTIFS(Drucksachen!$F$2:$F$293,D$5,Drucksachen!$E$2:$E$293,"Entschließungsantrag",Drucksachen!$R$2:$R$293,1)+COUNTIFS(Drucksachen!$F$2:$F$293,D$5,Drucksachen!$E$2:$E$293,"Gesetzentwurf",Drucksachen!$R$2:$R$293,1)</f>
        <v/>
      </c>
      <c r="E8" s="19">
        <f>COUNTIFS(Drucksachen!$F$2:$F$293,E$5,Drucksachen!$E$2:$E$293,"Antrag",Drucksachen!$R$2:$R$293,1)+COUNTIFS(Drucksachen!$F$2:$F$293,E$5,Drucksachen!$E$2:$E$293,"Entschließungsantrag",Drucksachen!$R$2:$R$293,1)+COUNTIFS(Drucksachen!$F$2:$F$293,E$5,Drucksachen!$E$2:$E$293,"Gesetzentwurf",Drucksachen!$R$2:$R$293,1)</f>
        <v/>
      </c>
      <c r="F8" s="29" t="inlineStr">
        <is>
          <t>Anzahl</t>
        </is>
      </c>
      <c r="G8" s="19" t="n"/>
      <c r="H8" s="19" t="inlineStr">
        <is>
          <t>Sonstiges</t>
        </is>
      </c>
      <c r="I8" s="19">
        <f>IF(SUMPRODUCT(ISNUMBER(SEARCH($H8,Drucksachen!$I$2:$I$293))*(Drucksachen!$F$2:$F$293=I$5)*(COUNTIF(Themen!$K$5:$K$8,Drucksachen!$E$2:$E$293)&gt;0))&gt;0,1,0)</f>
        <v/>
      </c>
      <c r="J8" s="19">
        <f>IF(SUMPRODUCT(ISNUMBER(SEARCH($H8,Drucksachen!$I$2:$I$293))*(Drucksachen!$F$2:$F$293=J$5)*(COUNTIF(Themen!$K$5:$K$8,Drucksachen!$E$2:$E$293)&gt;0))&gt;0,1,0)</f>
        <v/>
      </c>
      <c r="K8" s="19">
        <f>IF(SUMPRODUCT(ISNUMBER(SEARCH($H8,Drucksachen!$I$2:$I$293))*(Drucksachen!$F$2:$F$293=K$5)*(COUNTIF(Themen!$K$5:$K$8,Drucksachen!$E$2:$E$293)&gt;0))&gt;0,1,0)</f>
        <v/>
      </c>
      <c r="L8" s="19">
        <f>IF(SUMPRODUCT(ISNUMBER(SEARCH($H8,Drucksachen!$I$2:$I$293))*(Drucksachen!$F$2:$F$293=L$5)*(COUNTIF(Themen!$K$5:$K$8,Drucksachen!$E$2:$E$293)&gt;0))&gt;0,1,0)</f>
        <v/>
      </c>
    </row>
    <row r="9">
      <c r="A9" s="19" t="inlineStr">
        <is>
          <t>davon Teil einer Serie</t>
        </is>
      </c>
      <c r="B9" s="19">
        <f>COUNTIFS(Drucksachen!$F$2:$F$293,B$5,Drucksachen!$E$2:$E$293,"Kleine Anfrage",Drucksachen!$Q$2:$Q$293,"&lt;&gt;")+COUNTIFS(Drucksachen!$F$2:$F$293,B$5,Drucksachen!$E$2:$E$293,"Antrag",Drucksachen!$Q$2:$Q$293,"&lt;&gt;")+COUNTIFS(Drucksachen!$F$2:$F$293,B$5,Drucksachen!$E$2:$E$293,"Entschließungsantrag",Drucksachen!$Q$2:$Q$293,"&lt;&gt;")+COUNTIFS(Drucksachen!$F$2:$F$293,B$5,Drucksachen!$E$2:$E$293,"Gesetzentwurf",Drucksachen!$Q$2:$Q$293,"&lt;&gt;")</f>
        <v/>
      </c>
      <c r="C9" s="19">
        <f>COUNTIFS(Drucksachen!$F$2:$F$293,C$5,Drucksachen!$E$2:$E$293,"Kleine Anfrage",Drucksachen!$Q$2:$Q$293,"&lt;&gt;")+COUNTIFS(Drucksachen!$F$2:$F$293,C$5,Drucksachen!$E$2:$E$293,"Antrag",Drucksachen!$Q$2:$Q$293,"&lt;&gt;")+COUNTIFS(Drucksachen!$F$2:$F$293,C$5,Drucksachen!$E$2:$E$293,"Entschließungsantrag",Drucksachen!$Q$2:$Q$293,"&lt;&gt;")+COUNTIFS(Drucksachen!$F$2:$F$293,C$5,Drucksachen!$E$2:$E$293,"Gesetzentwurf",Drucksachen!$Q$2:$Q$293,"&lt;&gt;")</f>
        <v/>
      </c>
      <c r="D9" s="19">
        <f>COUNTIFS(Drucksachen!$F$2:$F$293,D$5,Drucksachen!$E$2:$E$293,"Kleine Anfrage",Drucksachen!$Q$2:$Q$293,"&lt;&gt;")+COUNTIFS(Drucksachen!$F$2:$F$293,D$5,Drucksachen!$E$2:$E$293,"Antrag",Drucksachen!$Q$2:$Q$293,"&lt;&gt;")+COUNTIFS(Drucksachen!$F$2:$F$293,D$5,Drucksachen!$E$2:$E$293,"Entschließungsantrag",Drucksachen!$Q$2:$Q$293,"&lt;&gt;")+COUNTIFS(Drucksachen!$F$2:$F$293,D$5,Drucksachen!$E$2:$E$293,"Gesetzentwurf",Drucksachen!$Q$2:$Q$293,"&lt;&gt;")</f>
        <v/>
      </c>
      <c r="E9" s="19">
        <f>COUNTIFS(Drucksachen!$F$2:$F$293,E$5,Drucksachen!$E$2:$E$293,"Kleine Anfrage",Drucksachen!$Q$2:$Q$293,"&lt;&gt;")+COUNTIFS(Drucksachen!$F$2:$F$293,E$5,Drucksachen!$E$2:$E$293,"Antrag",Drucksachen!$Q$2:$Q$293,"&lt;&gt;")+COUNTIFS(Drucksachen!$F$2:$F$293,E$5,Drucksachen!$E$2:$E$293,"Entschließungsantrag",Drucksachen!$Q$2:$Q$293,"&lt;&gt;")+COUNTIFS(Drucksachen!$F$2:$F$293,E$5,Drucksachen!$E$2:$E$293,"Gesetzentwurf",Drucksachen!$Q$2:$Q$293,"&lt;&gt;")</f>
        <v/>
      </c>
      <c r="F9" s="29" t="inlineStr">
        <is>
          <t>Anzahl</t>
        </is>
      </c>
      <c r="G9" s="19" t="n"/>
      <c r="H9" s="19" t="inlineStr">
        <is>
          <t>Infrastruktur/Netz</t>
        </is>
      </c>
      <c r="I9" s="19">
        <f>IF(SUMPRODUCT(ISNUMBER(SEARCH($H9,Drucksachen!$I$2:$I$293))*(Drucksachen!$F$2:$F$293=I$5)*(COUNTIF(Themen!$K$5:$K$8,Drucksachen!$E$2:$E$293)&gt;0))&gt;0,1,0)</f>
        <v/>
      </c>
      <c r="J9" s="19">
        <f>IF(SUMPRODUCT(ISNUMBER(SEARCH($H9,Drucksachen!$I$2:$I$293))*(Drucksachen!$F$2:$F$293=J$5)*(COUNTIF(Themen!$K$5:$K$8,Drucksachen!$E$2:$E$293)&gt;0))&gt;0,1,0)</f>
        <v/>
      </c>
      <c r="K9" s="19">
        <f>IF(SUMPRODUCT(ISNUMBER(SEARCH($H9,Drucksachen!$I$2:$I$293))*(Drucksachen!$F$2:$F$293=K$5)*(COUNTIF(Themen!$K$5:$K$8,Drucksachen!$E$2:$E$293)&gt;0))&gt;0,1,0)</f>
        <v/>
      </c>
      <c r="L9" s="19">
        <f>IF(SUMPRODUCT(ISNUMBER(SEARCH($H9,Drucksachen!$I$2:$I$293))*(Drucksachen!$F$2:$F$293=L$5)*(COUNTIF(Themen!$K$5:$K$8,Drucksachen!$E$2:$E$293)&gt;0))&gt;0,1,0)</f>
        <v/>
      </c>
    </row>
    <row r="10">
      <c r="A10" s="19" t="inlineStr">
        <is>
          <t>davon im Halbjahr vor einer Bundestagswahl</t>
        </is>
      </c>
      <c r="B10" s="19">
        <f>COUNTIFS(Drucksachen!$F$2:$F$293,B$5,Drucksachen!$A$2:$A$293,"&gt;="&amp;DATE(2025,2,23)-183,Drucksachen!$A$2:$A$293,"&lt;="&amp;DATE(2025,2,23))</f>
        <v/>
      </c>
      <c r="C10" s="19">
        <f>COUNTIFS(Drucksachen!$F$2:$F$293,C$5,Drucksachen!$A$2:$A$293,"&gt;="&amp;DATE(2025,2,23)-183,Drucksachen!$A$2:$A$293,"&lt;="&amp;DATE(2025,2,23))</f>
        <v/>
      </c>
      <c r="D10" s="19">
        <f>COUNTIFS(Drucksachen!$F$2:$F$293,D$5,Drucksachen!$A$2:$A$293,"&gt;="&amp;DATE(2025,2,23)-183,Drucksachen!$A$2:$A$293,"&lt;="&amp;DATE(2025,2,23))</f>
        <v/>
      </c>
      <c r="E10" s="19">
        <f>COUNTIFS(Drucksachen!$F$2:$F$293,E$5,Drucksachen!$A$2:$A$293,"&gt;="&amp;DATE(2025,2,23)-183,Drucksachen!$A$2:$A$293,"&lt;="&amp;DATE(2025,2,23))</f>
        <v/>
      </c>
      <c r="F10" s="29" t="inlineStr">
        <is>
          <t>Anzahl, 1 Termin(e) im Bestand</t>
        </is>
      </c>
      <c r="G10" s="19" t="n"/>
      <c r="H10" s="19" t="inlineStr">
        <is>
          <t>Konzernstruktur/DB AG</t>
        </is>
      </c>
      <c r="I10" s="19">
        <f>IF(SUMPRODUCT(ISNUMBER(SEARCH($H10,Drucksachen!$I$2:$I$293))*(Drucksachen!$F$2:$F$293=I$5)*(COUNTIF(Themen!$K$5:$K$8,Drucksachen!$E$2:$E$293)&gt;0))&gt;0,1,0)</f>
        <v/>
      </c>
      <c r="J10" s="19">
        <f>IF(SUMPRODUCT(ISNUMBER(SEARCH($H10,Drucksachen!$I$2:$I$293))*(Drucksachen!$F$2:$F$293=J$5)*(COUNTIF(Themen!$K$5:$K$8,Drucksachen!$E$2:$E$293)&gt;0))&gt;0,1,0)</f>
        <v/>
      </c>
      <c r="K10" s="19">
        <f>IF(SUMPRODUCT(ISNUMBER(SEARCH($H10,Drucksachen!$I$2:$I$293))*(Drucksachen!$F$2:$F$293=K$5)*(COUNTIF(Themen!$K$5:$K$8,Drucksachen!$E$2:$E$293)&gt;0))&gt;0,1,0)</f>
        <v/>
      </c>
      <c r="L10" s="19">
        <f>IF(SUMPRODUCT(ISNUMBER(SEARCH($H10,Drucksachen!$I$2:$I$293))*(Drucksachen!$F$2:$F$293=L$5)*(COUNTIF(Themen!$K$5:$K$8,Drucksachen!$E$2:$E$293)&gt;0))&gt;0,1,0)</f>
        <v/>
      </c>
    </row>
    <row r="11">
      <c r="A11" s="19" t="inlineStr">
        <is>
          <t>beruehrte Sachthemen</t>
        </is>
      </c>
      <c r="B11" s="19">
        <f>SUM(I$6:I$19)</f>
        <v/>
      </c>
      <c r="C11" s="19">
        <f>SUM(J$6:J$19)</f>
        <v/>
      </c>
      <c r="D11" s="19">
        <f>SUM(K$6:K$19)</f>
        <v/>
      </c>
      <c r="E11" s="19">
        <f>SUM(L$6:L$19)</f>
        <v/>
      </c>
      <c r="F11" s="29" t="inlineStr">
        <is>
          <t>von 14</t>
        </is>
      </c>
      <c r="G11" s="19" t="n"/>
      <c r="H11" s="19" t="inlineStr">
        <is>
          <t>Sicherheit</t>
        </is>
      </c>
      <c r="I11" s="19">
        <f>IF(SUMPRODUCT(ISNUMBER(SEARCH($H11,Drucksachen!$I$2:$I$293))*(Drucksachen!$F$2:$F$293=I$5)*(COUNTIF(Themen!$K$5:$K$8,Drucksachen!$E$2:$E$293)&gt;0))&gt;0,1,0)</f>
        <v/>
      </c>
      <c r="J11" s="19">
        <f>IF(SUMPRODUCT(ISNUMBER(SEARCH($H11,Drucksachen!$I$2:$I$293))*(Drucksachen!$F$2:$F$293=J$5)*(COUNTIF(Themen!$K$5:$K$8,Drucksachen!$E$2:$E$293)&gt;0))&gt;0,1,0)</f>
        <v/>
      </c>
      <c r="K11" s="19">
        <f>IF(SUMPRODUCT(ISNUMBER(SEARCH($H11,Drucksachen!$I$2:$I$293))*(Drucksachen!$F$2:$F$293=K$5)*(COUNTIF(Themen!$K$5:$K$8,Drucksachen!$E$2:$E$293)&gt;0))&gt;0,1,0)</f>
        <v/>
      </c>
      <c r="L11" s="19">
        <f>IF(SUMPRODUCT(ISNUMBER(SEARCH($H11,Drucksachen!$I$2:$I$293))*(Drucksachen!$F$2:$F$293=L$5)*(COUNTIF(Themen!$K$5:$K$8,Drucksachen!$E$2:$E$293)&gt;0))&gt;0,1,0)</f>
        <v/>
      </c>
    </row>
    <row r="12">
      <c r="A12" s="19" t="inlineStr">
        <is>
          <t>Quartale mit eigener Aktivitaet</t>
        </is>
      </c>
      <c r="B12" s="19">
        <f>SUM(I$21:I$40)</f>
        <v/>
      </c>
      <c r="C12" s="19">
        <f>SUM(J$21:J$40)</f>
        <v/>
      </c>
      <c r="D12" s="19">
        <f>SUM(K$21:K$40)</f>
        <v/>
      </c>
      <c r="E12" s="19">
        <f>SUM(L$21:L$40)</f>
        <v/>
      </c>
      <c r="F12" s="29" t="inlineStr">
        <is>
          <t>von 20</t>
        </is>
      </c>
      <c r="G12" s="19" t="n"/>
      <c r="H12" s="19" t="inlineStr">
        <is>
          <t>Finanzierung</t>
        </is>
      </c>
      <c r="I12" s="19">
        <f>IF(SUMPRODUCT(ISNUMBER(SEARCH($H12,Drucksachen!$I$2:$I$293))*(Drucksachen!$F$2:$F$293=I$5)*(COUNTIF(Themen!$K$5:$K$8,Drucksachen!$E$2:$E$293)&gt;0))&gt;0,1,0)</f>
        <v/>
      </c>
      <c r="J12" s="19">
        <f>IF(SUMPRODUCT(ISNUMBER(SEARCH($H12,Drucksachen!$I$2:$I$293))*(Drucksachen!$F$2:$F$293=J$5)*(COUNTIF(Themen!$K$5:$K$8,Drucksachen!$E$2:$E$293)&gt;0))&gt;0,1,0)</f>
        <v/>
      </c>
      <c r="K12" s="19">
        <f>IF(SUMPRODUCT(ISNUMBER(SEARCH($H12,Drucksachen!$I$2:$I$293))*(Drucksachen!$F$2:$F$293=K$5)*(COUNTIF(Themen!$K$5:$K$8,Drucksachen!$E$2:$E$293)&gt;0))&gt;0,1,0)</f>
        <v/>
      </c>
      <c r="L12" s="19">
        <f>IF(SUMPRODUCT(ISNUMBER(SEARCH($H12,Drucksachen!$I$2:$I$293))*(Drucksachen!$F$2:$F$293=L$5)*(COUNTIF(Themen!$K$5:$K$8,Drucksachen!$E$2:$E$293)&gt;0))&gt;0,1,0)</f>
        <v/>
      </c>
    </row>
    <row r="13">
      <c r="A13" s="19" t="n"/>
      <c r="B13" s="19" t="n"/>
      <c r="C13" s="19" t="n"/>
      <c r="D13" s="19" t="n"/>
      <c r="E13" s="19" t="n"/>
      <c r="F13" s="19" t="n"/>
      <c r="G13" s="19" t="n"/>
      <c r="H13" s="19" t="inlineStr">
        <is>
          <t>Puenktlichkeit/Qualitaet</t>
        </is>
      </c>
      <c r="I13" s="19">
        <f>IF(SUMPRODUCT(ISNUMBER(SEARCH($H13,Drucksachen!$I$2:$I$293))*(Drucksachen!$F$2:$F$293=I$5)*(COUNTIF(Themen!$K$5:$K$8,Drucksachen!$E$2:$E$293)&gt;0))&gt;0,1,0)</f>
        <v/>
      </c>
      <c r="J13" s="19">
        <f>IF(SUMPRODUCT(ISNUMBER(SEARCH($H13,Drucksachen!$I$2:$I$293))*(Drucksachen!$F$2:$F$293=J$5)*(COUNTIF(Themen!$K$5:$K$8,Drucksachen!$E$2:$E$293)&gt;0))&gt;0,1,0)</f>
        <v/>
      </c>
      <c r="K13" s="19">
        <f>IF(SUMPRODUCT(ISNUMBER(SEARCH($H13,Drucksachen!$I$2:$I$293))*(Drucksachen!$F$2:$F$293=K$5)*(COUNTIF(Themen!$K$5:$K$8,Drucksachen!$E$2:$E$293)&gt;0))&gt;0,1,0)</f>
        <v/>
      </c>
      <c r="L13" s="19">
        <f>IF(SUMPRODUCT(ISNUMBER(SEARCH($H13,Drucksachen!$I$2:$I$293))*(Drucksachen!$F$2:$F$293=L$5)*(COUNTIF(Themen!$K$5:$K$8,Drucksachen!$E$2:$E$293)&gt;0))&gt;0,1,0)</f>
        <v/>
      </c>
    </row>
    <row r="14">
      <c r="A14" s="30" t="inlineStr">
        <is>
          <t>Schritt 2: Indikatoren, je Zeile Spitzenreiter = 100</t>
        </is>
      </c>
      <c r="B14" s="19" t="n"/>
      <c r="C14" s="19" t="n"/>
      <c r="D14" s="19" t="n"/>
      <c r="E14" s="19" t="n"/>
      <c r="F14" s="19" t="n"/>
      <c r="G14" s="19" t="n"/>
      <c r="H14" s="19" t="inlineStr">
        <is>
          <t>Barrierefreiheit</t>
        </is>
      </c>
      <c r="I14" s="19">
        <f>IF(SUMPRODUCT(ISNUMBER(SEARCH($H14,Drucksachen!$I$2:$I$293))*(Drucksachen!$F$2:$F$293=I$5)*(COUNTIF(Themen!$K$5:$K$8,Drucksachen!$E$2:$E$293)&gt;0))&gt;0,1,0)</f>
        <v/>
      </c>
      <c r="J14" s="19">
        <f>IF(SUMPRODUCT(ISNUMBER(SEARCH($H14,Drucksachen!$I$2:$I$293))*(Drucksachen!$F$2:$F$293=J$5)*(COUNTIF(Themen!$K$5:$K$8,Drucksachen!$E$2:$E$293)&gt;0))&gt;0,1,0)</f>
        <v/>
      </c>
      <c r="K14" s="19">
        <f>IF(SUMPRODUCT(ISNUMBER(SEARCH($H14,Drucksachen!$I$2:$I$293))*(Drucksachen!$F$2:$F$293=K$5)*(COUNTIF(Themen!$K$5:$K$8,Drucksachen!$E$2:$E$293)&gt;0))&gt;0,1,0)</f>
        <v/>
      </c>
      <c r="L14" s="19">
        <f>IF(SUMPRODUCT(ISNUMBER(SEARCH($H14,Drucksachen!$I$2:$I$293))*(Drucksachen!$F$2:$F$293=L$5)*(COUNTIF(Themen!$K$5:$K$8,Drucksachen!$E$2:$E$293)&gt;0))&gt;0,1,0)</f>
        <v/>
      </c>
    </row>
    <row r="15">
      <c r="A15" s="18" t="inlineStr">
        <is>
          <t>Die gelben Zellen sind deine. Aendere die Gewichte und der Score unten rechnet sich neu. Negative Gewichte sind erlaubt, wenn du einen Indikator als Minuspunkt verstehst.</t>
        </is>
      </c>
      <c r="B15" s="19" t="n"/>
      <c r="C15" s="19" t="n"/>
      <c r="D15" s="19" t="n"/>
      <c r="E15" s="19" t="n"/>
      <c r="F15" s="19" t="n"/>
      <c r="G15" s="19" t="n"/>
      <c r="H15" s="19" t="inlineStr">
        <is>
          <t>Deutschlandticket</t>
        </is>
      </c>
      <c r="I15" s="19">
        <f>IF(SUMPRODUCT(ISNUMBER(SEARCH($H15,Drucksachen!$I$2:$I$293))*(Drucksachen!$F$2:$F$293=I$5)*(COUNTIF(Themen!$K$5:$K$8,Drucksachen!$E$2:$E$293)&gt;0))&gt;0,1,0)</f>
        <v/>
      </c>
      <c r="J15" s="19">
        <f>IF(SUMPRODUCT(ISNUMBER(SEARCH($H15,Drucksachen!$I$2:$I$293))*(Drucksachen!$F$2:$F$293=J$5)*(COUNTIF(Themen!$K$5:$K$8,Drucksachen!$E$2:$E$293)&gt;0))&gt;0,1,0)</f>
        <v/>
      </c>
      <c r="K15" s="19">
        <f>IF(SUMPRODUCT(ISNUMBER(SEARCH($H15,Drucksachen!$I$2:$I$293))*(Drucksachen!$F$2:$F$293=K$5)*(COUNTIF(Themen!$K$5:$K$8,Drucksachen!$E$2:$E$293)&gt;0))&gt;0,1,0)</f>
        <v/>
      </c>
      <c r="L15" s="19">
        <f>IF(SUMPRODUCT(ISNUMBER(SEARCH($H15,Drucksachen!$I$2:$I$293))*(Drucksachen!$F$2:$F$293=L$5)*(COUNTIF(Themen!$K$5:$K$8,Drucksachen!$E$2:$E$293)&gt;0))&gt;0,1,0)</f>
        <v/>
      </c>
    </row>
    <row r="16">
      <c r="A16" s="19" t="n"/>
      <c r="B16" s="19" t="n"/>
      <c r="C16" s="19" t="n"/>
      <c r="D16" s="19" t="n"/>
      <c r="E16" s="19" t="n"/>
      <c r="F16" s="19" t="n"/>
      <c r="G16" s="19" t="n"/>
      <c r="H16" s="19" t="inlineStr">
        <is>
          <t>Nahverkehr/SPNV</t>
        </is>
      </c>
      <c r="I16" s="19">
        <f>IF(SUMPRODUCT(ISNUMBER(SEARCH($H16,Drucksachen!$I$2:$I$293))*(Drucksachen!$F$2:$F$293=I$5)*(COUNTIF(Themen!$K$5:$K$8,Drucksachen!$E$2:$E$293)&gt;0))&gt;0,1,0)</f>
        <v/>
      </c>
      <c r="J16" s="19">
        <f>IF(SUMPRODUCT(ISNUMBER(SEARCH($H16,Drucksachen!$I$2:$I$293))*(Drucksachen!$F$2:$F$293=J$5)*(COUNTIF(Themen!$K$5:$K$8,Drucksachen!$E$2:$E$293)&gt;0))&gt;0,1,0)</f>
        <v/>
      </c>
      <c r="K16" s="19">
        <f>IF(SUMPRODUCT(ISNUMBER(SEARCH($H16,Drucksachen!$I$2:$I$293))*(Drucksachen!$F$2:$F$293=K$5)*(COUNTIF(Themen!$K$5:$K$8,Drucksachen!$E$2:$E$293)&gt;0))&gt;0,1,0)</f>
        <v/>
      </c>
      <c r="L16" s="19">
        <f>IF(SUMPRODUCT(ISNUMBER(SEARCH($H16,Drucksachen!$I$2:$I$293))*(Drucksachen!$F$2:$F$293=L$5)*(COUNTIF(Themen!$K$5:$K$8,Drucksachen!$E$2:$E$293)&gt;0))&gt;0,1,0)</f>
        <v/>
      </c>
    </row>
    <row r="17" ht="28" customHeight="1">
      <c r="A17" s="11" t="inlineStr">
        <is>
          <t>Indikator</t>
        </is>
      </c>
      <c r="B17" s="11" t="inlineStr">
        <is>
          <t>Gewicht</t>
        </is>
      </c>
      <c r="C17" s="11" t="inlineStr">
        <is>
          <t>CDU/CSU</t>
        </is>
      </c>
      <c r="D17" s="11" t="inlineStr">
        <is>
          <t>Gruene</t>
        </is>
      </c>
      <c r="E17" s="11" t="inlineStr">
        <is>
          <t>AfD</t>
        </is>
      </c>
      <c r="F17" s="11" t="inlineStr">
        <is>
          <t>Linke</t>
        </is>
      </c>
      <c r="G17" s="11" t="inlineStr">
        <is>
          <t>Was er misst</t>
        </is>
      </c>
      <c r="H17" s="19" t="inlineStr">
        <is>
          <t>Deutschlandtakt/Fahrplan</t>
        </is>
      </c>
      <c r="I17" s="19">
        <f>IF(SUMPRODUCT(ISNUMBER(SEARCH($H17,Drucksachen!$I$2:$I$293))*(Drucksachen!$F$2:$F$293=I$5)*(COUNTIF(Themen!$K$5:$K$8,Drucksachen!$E$2:$E$293)&gt;0))&gt;0,1,0)</f>
        <v/>
      </c>
      <c r="J17" s="19">
        <f>IF(SUMPRODUCT(ISNUMBER(SEARCH($H17,Drucksachen!$I$2:$I$293))*(Drucksachen!$F$2:$F$293=J$5)*(COUNTIF(Themen!$K$5:$K$8,Drucksachen!$E$2:$E$293)&gt;0))&gt;0,1,0)</f>
        <v/>
      </c>
      <c r="K17" s="19">
        <f>IF(SUMPRODUCT(ISNUMBER(SEARCH($H17,Drucksachen!$I$2:$I$293))*(Drucksachen!$F$2:$F$293=K$5)*(COUNTIF(Themen!$K$5:$K$8,Drucksachen!$E$2:$E$293)&gt;0))&gt;0,1,0)</f>
        <v/>
      </c>
      <c r="L17" s="19">
        <f>IF(SUMPRODUCT(ISNUMBER(SEARCH($H17,Drucksachen!$I$2:$I$293))*(Drucksachen!$F$2:$F$293=L$5)*(COUNTIF(Themen!$K$5:$K$8,Drucksachen!$E$2:$E$293)&gt;0))&gt;0,1,0)</f>
        <v/>
      </c>
    </row>
    <row r="18">
      <c r="A18" s="19" t="inlineStr">
        <is>
          <t>Aktivitaet</t>
        </is>
      </c>
      <c r="B18" s="31" t="n">
        <v>10</v>
      </c>
      <c r="C18" s="19">
        <f>IFERROR(ROUND((B6)/MAX(B6,C6,D6,E6)*100,0),0)</f>
        <v/>
      </c>
      <c r="D18" s="19">
        <f>IFERROR(ROUND((C6)/MAX(B6,C6,D6,E6)*100,0),0)</f>
        <v/>
      </c>
      <c r="E18" s="19">
        <f>IFERROR(ROUND((D6)/MAX(B6,C6,D6,E6)*100,0),0)</f>
        <v/>
      </c>
      <c r="F18" s="19">
        <f>IFERROR(ROUND((E6)/MAX(B6,C6,D6,E6)*100,0),0)</f>
        <v/>
      </c>
      <c r="G18" s="29" t="inlineStr">
        <is>
          <t>Menge der eigenen Initiativen. Sagt nichts ueber Gehalt</t>
        </is>
      </c>
      <c r="H18" s="19" t="inlineStr">
        <is>
          <t>Personal</t>
        </is>
      </c>
      <c r="I18" s="19">
        <f>IF(SUMPRODUCT(ISNUMBER(SEARCH($H18,Drucksachen!$I$2:$I$293))*(Drucksachen!$F$2:$F$293=I$5)*(COUNTIF(Themen!$K$5:$K$8,Drucksachen!$E$2:$E$293)&gt;0))&gt;0,1,0)</f>
        <v/>
      </c>
      <c r="J18" s="19">
        <f>IF(SUMPRODUCT(ISNUMBER(SEARCH($H18,Drucksachen!$I$2:$I$293))*(Drucksachen!$F$2:$F$293=J$5)*(COUNTIF(Themen!$K$5:$K$8,Drucksachen!$E$2:$E$293)&gt;0))&gt;0,1,0)</f>
        <v/>
      </c>
      <c r="K18" s="19">
        <f>IF(SUMPRODUCT(ISNUMBER(SEARCH($H18,Drucksachen!$I$2:$I$293))*(Drucksachen!$F$2:$F$293=K$5)*(COUNTIF(Themen!$K$5:$K$8,Drucksachen!$E$2:$E$293)&gt;0))&gt;0,1,0)</f>
        <v/>
      </c>
      <c r="L18" s="19">
        <f>IF(SUMPRODUCT(ISNUMBER(SEARCH($H18,Drucksachen!$I$2:$I$293))*(Drucksachen!$F$2:$F$293=L$5)*(COUNTIF(Themen!$K$5:$K$8,Drucksachen!$E$2:$E$293)&gt;0))&gt;0,1,0)</f>
        <v/>
      </c>
    </row>
    <row r="19">
      <c r="A19" s="19" t="inlineStr">
        <is>
          <t>Gestaltungsanteil</t>
        </is>
      </c>
      <c r="B19" s="31" t="n">
        <v>25</v>
      </c>
      <c r="C19" s="19">
        <f>IFERROR(ROUND((IFERROR(B7/B6*100,0))/MAX(IFERROR(B7/B6*100,0),IFERROR(C7/C6*100,0),IFERROR(D7/D6*100,0),IFERROR(E7/E6*100,0))*100,0),0)</f>
        <v/>
      </c>
      <c r="D19" s="19">
        <f>IFERROR(ROUND((IFERROR(C7/C6*100,0))/MAX(IFERROR(B7/B6*100,0),IFERROR(C7/C6*100,0),IFERROR(D7/D6*100,0),IFERROR(E7/E6*100,0))*100,0),0)</f>
        <v/>
      </c>
      <c r="E19" s="19">
        <f>IFERROR(ROUND((IFERROR(D7/D6*100,0))/MAX(IFERROR(B7/B6*100,0),IFERROR(C7/C6*100,0),IFERROR(D7/D6*100,0),IFERROR(E7/E6*100,0))*100,0),0)</f>
        <v/>
      </c>
      <c r="F19" s="19">
        <f>IFERROR(ROUND((IFERROR(E7/E6*100,0))/MAX(IFERROR(B7/B6*100,0),IFERROR(C7/C6*100,0),IFERROR(D7/D6*100,0),IFERROR(E7/E6*100,0))*100,0),0)</f>
        <v/>
      </c>
      <c r="G19" s="29" t="inlineStr">
        <is>
          <t>Antrag und Gesetzentwurf statt nur Nachfragen</t>
        </is>
      </c>
      <c r="H19" s="19" t="inlineStr">
        <is>
          <t>Gueterverkehr</t>
        </is>
      </c>
      <c r="I19" s="19">
        <f>IF(SUMPRODUCT(ISNUMBER(SEARCH($H19,Drucksachen!$I$2:$I$293))*(Drucksachen!$F$2:$F$293=I$5)*(COUNTIF(Themen!$K$5:$K$8,Drucksachen!$E$2:$E$293)&gt;0))&gt;0,1,0)</f>
        <v/>
      </c>
      <c r="J19" s="19">
        <f>IF(SUMPRODUCT(ISNUMBER(SEARCH($H19,Drucksachen!$I$2:$I$293))*(Drucksachen!$F$2:$F$293=J$5)*(COUNTIF(Themen!$K$5:$K$8,Drucksachen!$E$2:$E$293)&gt;0))&gt;0,1,0)</f>
        <v/>
      </c>
      <c r="K19" s="19">
        <f>IF(SUMPRODUCT(ISNUMBER(SEARCH($H19,Drucksachen!$I$2:$I$293))*(Drucksachen!$F$2:$F$293=K$5)*(COUNTIF(Themen!$K$5:$K$8,Drucksachen!$E$2:$E$293)&gt;0))&gt;0,1,0)</f>
        <v/>
      </c>
      <c r="L19" s="19">
        <f>IF(SUMPRODUCT(ISNUMBER(SEARCH($H19,Drucksachen!$I$2:$I$293))*(Drucksachen!$F$2:$F$293=L$5)*(COUNTIF(Themen!$K$5:$K$8,Drucksachen!$E$2:$E$293)&gt;0))&gt;0,1,0)</f>
        <v/>
      </c>
    </row>
    <row r="20">
      <c r="A20" s="19" t="inlineStr">
        <is>
          <t>Themenbreite</t>
        </is>
      </c>
      <c r="B20" s="31" t="n">
        <v>20</v>
      </c>
      <c r="C20" s="19">
        <f>IFERROR(ROUND((B11)/MAX(B11,C11,D11,E11)*100,0),0)</f>
        <v/>
      </c>
      <c r="D20" s="19">
        <f>IFERROR(ROUND((C11)/MAX(B11,C11,D11,E11)*100,0),0)</f>
        <v/>
      </c>
      <c r="E20" s="19">
        <f>IFERROR(ROUND((D11)/MAX(B11,C11,D11,E11)*100,0),0)</f>
        <v/>
      </c>
      <c r="F20" s="19">
        <f>IFERROR(ROUND((E11)/MAX(B11,C11,D11,E11)*100,0),0)</f>
        <v/>
      </c>
      <c r="G20" s="29" t="inlineStr">
        <is>
          <t>Ganze Bahnpolitik oder ein Steckenpferd. Haengt an der Menge</t>
        </is>
      </c>
      <c r="H20" s="19" t="n"/>
      <c r="I20" s="19" t="n"/>
      <c r="J20" s="19" t="n"/>
      <c r="K20" s="19" t="n"/>
      <c r="L20" s="19" t="n"/>
    </row>
    <row r="21">
      <c r="A21" s="19" t="inlineStr">
        <is>
          <t>Beharrlichkeit</t>
        </is>
      </c>
      <c r="B21" s="31" t="n">
        <v>15</v>
      </c>
      <c r="C21" s="19">
        <f>IFERROR(ROUND((B12)/MAX(B12,C12,D12,E12)*100,0),0)</f>
        <v/>
      </c>
      <c r="D21" s="19">
        <f>IFERROR(ROUND((C12)/MAX(B12,C12,D12,E12)*100,0),0)</f>
        <v/>
      </c>
      <c r="E21" s="19">
        <f>IFERROR(ROUND((D12)/MAX(B12,C12,D12,E12)*100,0),0)</f>
        <v/>
      </c>
      <c r="F21" s="19">
        <f>IFERROR(ROUND((E12)/MAX(B12,C12,D12,E12)*100,0),0)</f>
        <v/>
      </c>
      <c r="G21" s="29" t="inlineStr">
        <is>
          <t>Dauerhaft dran oder nur zu Anlaessen</t>
        </is>
      </c>
      <c r="H21" s="19" t="inlineStr">
        <is>
          <t>2021-Q4</t>
        </is>
      </c>
      <c r="I21" s="19">
        <f>IF(COUNTIFS(Drucksachen!$C$2:$C$293,$H21,Drucksachen!$F$2:$F$293,I$5,Drucksachen!$E$2:$E$293,"Kleine Anfrage")+COUNTIFS(Drucksachen!$C$2:$C$293,$H21,Drucksachen!$F$2:$F$293,I$5,Drucksachen!$E$2:$E$293,"Antrag")&gt;0,1,0)</f>
        <v/>
      </c>
      <c r="J21" s="19">
        <f>IF(COUNTIFS(Drucksachen!$C$2:$C$293,$H21,Drucksachen!$F$2:$F$293,J$5,Drucksachen!$E$2:$E$293,"Kleine Anfrage")+COUNTIFS(Drucksachen!$C$2:$C$293,$H21,Drucksachen!$F$2:$F$293,J$5,Drucksachen!$E$2:$E$293,"Antrag")&gt;0,1,0)</f>
        <v/>
      </c>
      <c r="K21" s="19">
        <f>IF(COUNTIFS(Drucksachen!$C$2:$C$293,$H21,Drucksachen!$F$2:$F$293,K$5,Drucksachen!$E$2:$E$293,"Kleine Anfrage")+COUNTIFS(Drucksachen!$C$2:$C$293,$H21,Drucksachen!$F$2:$F$293,K$5,Drucksachen!$E$2:$E$293,"Antrag")&gt;0,1,0)</f>
        <v/>
      </c>
      <c r="L21" s="19">
        <f>IF(COUNTIFS(Drucksachen!$C$2:$C$293,$H21,Drucksachen!$F$2:$F$293,L$5,Drucksachen!$E$2:$E$293,"Kleine Anfrage")+COUNTIFS(Drucksachen!$C$2:$C$293,$H21,Drucksachen!$F$2:$F$293,L$5,Drucksachen!$E$2:$E$293,"Antrag")&gt;0,1,0)</f>
        <v/>
      </c>
    </row>
    <row r="22">
      <c r="A22" s="19" t="inlineStr">
        <is>
          <t>Durchsetzungsversuch</t>
        </is>
      </c>
      <c r="B22" s="31" t="n">
        <v>10</v>
      </c>
      <c r="C22" s="19">
        <f>IFERROR(ROUND((IFERROR(B8/B7*100,0))/MAX(IFERROR(B8/B7*100,0),IFERROR(C8/C7*100,0),IFERROR(D8/D7*100,0),IFERROR(E8/E7*100,0))*100,0),0)</f>
        <v/>
      </c>
      <c r="D22" s="19">
        <f>IFERROR(ROUND((IFERROR(C8/C7*100,0))/MAX(IFERROR(B8/B7*100,0),IFERROR(C8/C7*100,0),IFERROR(D8/D7*100,0),IFERROR(E8/E7*100,0))*100,0),0)</f>
        <v/>
      </c>
      <c r="E22" s="19">
        <f>IFERROR(ROUND((IFERROR(D8/D7*100,0))/MAX(IFERROR(B8/B7*100,0),IFERROR(C8/C7*100,0),IFERROR(D8/D7*100,0),IFERROR(E8/E7*100,0))*100,0),0)</f>
        <v/>
      </c>
      <c r="F22" s="19">
        <f>IFERROR(ROUND((IFERROR(E8/E7*100,0))/MAX(IFERROR(B8/B7*100,0),IFERROR(C8/C7*100,0),IFERROR(D8/D7*100,0),IFERROR(E8/E7*100,0))*100,0),0)</f>
        <v/>
      </c>
      <c r="G22" s="29" t="inlineStr">
        <is>
          <t>Anteil mit Sachentscheidung, Ueberweisung zaehlt nicht</t>
        </is>
      </c>
      <c r="H22" s="19" t="inlineStr">
        <is>
          <t>2022-Q1</t>
        </is>
      </c>
      <c r="I22" s="19">
        <f>IF(COUNTIFS(Drucksachen!$C$2:$C$293,$H22,Drucksachen!$F$2:$F$293,I$5,Drucksachen!$E$2:$E$293,"Kleine Anfrage")+COUNTIFS(Drucksachen!$C$2:$C$293,$H22,Drucksachen!$F$2:$F$293,I$5,Drucksachen!$E$2:$E$293,"Antrag")&gt;0,1,0)</f>
        <v/>
      </c>
      <c r="J22" s="19">
        <f>IF(COUNTIFS(Drucksachen!$C$2:$C$293,$H22,Drucksachen!$F$2:$F$293,J$5,Drucksachen!$E$2:$E$293,"Kleine Anfrage")+COUNTIFS(Drucksachen!$C$2:$C$293,$H22,Drucksachen!$F$2:$F$293,J$5,Drucksachen!$E$2:$E$293,"Antrag")&gt;0,1,0)</f>
        <v/>
      </c>
      <c r="K22" s="19">
        <f>IF(COUNTIFS(Drucksachen!$C$2:$C$293,$H22,Drucksachen!$F$2:$F$293,K$5,Drucksachen!$E$2:$E$293,"Kleine Anfrage")+COUNTIFS(Drucksachen!$C$2:$C$293,$H22,Drucksachen!$F$2:$F$293,K$5,Drucksachen!$E$2:$E$293,"Antrag")&gt;0,1,0)</f>
        <v/>
      </c>
      <c r="L22" s="19">
        <f>IF(COUNTIFS(Drucksachen!$C$2:$C$293,$H22,Drucksachen!$F$2:$F$293,L$5,Drucksachen!$E$2:$E$293,"Kleine Anfrage")+COUNTIFS(Drucksachen!$C$2:$C$293,$H22,Drucksachen!$F$2:$F$293,L$5,Drucksachen!$E$2:$E$293,"Antrag")&gt;0,1,0)</f>
        <v/>
      </c>
    </row>
    <row r="23">
      <c r="A23" s="19" t="inlineStr">
        <is>
          <t>Eigenstaendigkeit</t>
        </is>
      </c>
      <c r="B23" s="31" t="n">
        <v>10</v>
      </c>
      <c r="C23" s="19">
        <f>IFERROR(ROUND((100-IFERROR(B9/B6*100,0))/MAX(100-IFERROR(B9/B6*100,0),100-IFERROR(C9/C6*100,0),100-IFERROR(D9/D6*100,0),100-IFERROR(E9/E6*100,0))*100,0),0)</f>
        <v/>
      </c>
      <c r="D23" s="19">
        <f>IFERROR(ROUND((100-IFERROR(C9/C6*100,0))/MAX(100-IFERROR(B9/B6*100,0),100-IFERROR(C9/C6*100,0),100-IFERROR(D9/D6*100,0),100-IFERROR(E9/E6*100,0))*100,0),0)</f>
        <v/>
      </c>
      <c r="E23" s="19">
        <f>IFERROR(ROUND((100-IFERROR(D9/D6*100,0))/MAX(100-IFERROR(B9/B6*100,0),100-IFERROR(C9/C6*100,0),100-IFERROR(D9/D6*100,0),100-IFERROR(E9/E6*100,0))*100,0),0)</f>
        <v/>
      </c>
      <c r="F23" s="19">
        <f>IFERROR(ROUND((100-IFERROR(E9/E6*100,0))/MAX(100-IFERROR(B9/B6*100,0),100-IFERROR(C9/C6*100,0),100-IFERROR(D9/D6*100,0),100-IFERROR(E9/E6*100,0))*100,0),0)</f>
        <v/>
      </c>
      <c r="G23" s="29" t="inlineStr">
        <is>
          <t>Gegenteil von Serienanfragen im festen Takt</t>
        </is>
      </c>
      <c r="H23" s="19" t="inlineStr">
        <is>
          <t>2022-Q2</t>
        </is>
      </c>
      <c r="I23" s="19">
        <f>IF(COUNTIFS(Drucksachen!$C$2:$C$293,$H23,Drucksachen!$F$2:$F$293,I$5,Drucksachen!$E$2:$E$293,"Kleine Anfrage")+COUNTIFS(Drucksachen!$C$2:$C$293,$H23,Drucksachen!$F$2:$F$293,I$5,Drucksachen!$E$2:$E$293,"Antrag")&gt;0,1,0)</f>
        <v/>
      </c>
      <c r="J23" s="19">
        <f>IF(COUNTIFS(Drucksachen!$C$2:$C$293,$H23,Drucksachen!$F$2:$F$293,J$5,Drucksachen!$E$2:$E$293,"Kleine Anfrage")+COUNTIFS(Drucksachen!$C$2:$C$293,$H23,Drucksachen!$F$2:$F$293,J$5,Drucksachen!$E$2:$E$293,"Antrag")&gt;0,1,0)</f>
        <v/>
      </c>
      <c r="K23" s="19">
        <f>IF(COUNTIFS(Drucksachen!$C$2:$C$293,$H23,Drucksachen!$F$2:$F$293,K$5,Drucksachen!$E$2:$E$293,"Kleine Anfrage")+COUNTIFS(Drucksachen!$C$2:$C$293,$H23,Drucksachen!$F$2:$F$293,K$5,Drucksachen!$E$2:$E$293,"Antrag")&gt;0,1,0)</f>
        <v/>
      </c>
      <c r="L23" s="19">
        <f>IF(COUNTIFS(Drucksachen!$C$2:$C$293,$H23,Drucksachen!$F$2:$F$293,L$5,Drucksachen!$E$2:$E$293,"Kleine Anfrage")+COUNTIFS(Drucksachen!$C$2:$C$293,$H23,Drucksachen!$F$2:$F$293,L$5,Drucksachen!$E$2:$E$293,"Antrag")&gt;0,1,0)</f>
        <v/>
      </c>
    </row>
    <row r="24">
      <c r="A24" s="19" t="inlineStr">
        <is>
          <t>Unabhaengigkeit vom Wahltermin</t>
        </is>
      </c>
      <c r="B24" s="31" t="n">
        <v>10</v>
      </c>
      <c r="C24" s="19">
        <f>IFERROR(ROUND((100-IFERROR(B10/B6*100,0))/MAX(100-IFERROR(B10/B6*100,0),100-IFERROR(C10/C6*100,0),100-IFERROR(D10/D6*100,0),100-IFERROR(E10/E6*100,0))*100,0),0)</f>
        <v/>
      </c>
      <c r="D24" s="19">
        <f>IFERROR(ROUND((100-IFERROR(C10/C6*100,0))/MAX(100-IFERROR(B10/B6*100,0),100-IFERROR(C10/C6*100,0),100-IFERROR(D10/D6*100,0),100-IFERROR(E10/E6*100,0))*100,0),0)</f>
        <v/>
      </c>
      <c r="E24" s="19">
        <f>IFERROR(ROUND((100-IFERROR(D10/D6*100,0))/MAX(100-IFERROR(B10/B6*100,0),100-IFERROR(C10/C6*100,0),100-IFERROR(D10/D6*100,0),100-IFERROR(E10/E6*100,0))*100,0),0)</f>
        <v/>
      </c>
      <c r="F24" s="19">
        <f>IFERROR(ROUND((100-IFERROR(E10/E6*100,0))/MAX(100-IFERROR(B10/B6*100,0),100-IFERROR(C10/C6*100,0),100-IFERROR(D10/D6*100,0),100-IFERROR(E10/E6*100,0))*100,0),0)</f>
        <v/>
      </c>
      <c r="G24" s="29" t="inlineStr">
        <is>
          <t>Arbeitet auch fern vom Wahlkampf</t>
        </is>
      </c>
      <c r="H24" s="19" t="inlineStr">
        <is>
          <t>2022-Q3</t>
        </is>
      </c>
      <c r="I24" s="19">
        <f>IF(COUNTIFS(Drucksachen!$C$2:$C$293,$H24,Drucksachen!$F$2:$F$293,I$5,Drucksachen!$E$2:$E$293,"Kleine Anfrage")+COUNTIFS(Drucksachen!$C$2:$C$293,$H24,Drucksachen!$F$2:$F$293,I$5,Drucksachen!$E$2:$E$293,"Antrag")&gt;0,1,0)</f>
        <v/>
      </c>
      <c r="J24" s="19">
        <f>IF(COUNTIFS(Drucksachen!$C$2:$C$293,$H24,Drucksachen!$F$2:$F$293,J$5,Drucksachen!$E$2:$E$293,"Kleine Anfrage")+COUNTIFS(Drucksachen!$C$2:$C$293,$H24,Drucksachen!$F$2:$F$293,J$5,Drucksachen!$E$2:$E$293,"Antrag")&gt;0,1,0)</f>
        <v/>
      </c>
      <c r="K24" s="19">
        <f>IF(COUNTIFS(Drucksachen!$C$2:$C$293,$H24,Drucksachen!$F$2:$F$293,K$5,Drucksachen!$E$2:$E$293,"Kleine Anfrage")+COUNTIFS(Drucksachen!$C$2:$C$293,$H24,Drucksachen!$F$2:$F$293,K$5,Drucksachen!$E$2:$E$293,"Antrag")&gt;0,1,0)</f>
        <v/>
      </c>
      <c r="L24" s="19">
        <f>IF(COUNTIFS(Drucksachen!$C$2:$C$293,$H24,Drucksachen!$F$2:$F$293,L$5,Drucksachen!$E$2:$E$293,"Kleine Anfrage")+COUNTIFS(Drucksachen!$C$2:$C$293,$H24,Drucksachen!$F$2:$F$293,L$5,Drucksachen!$E$2:$E$293,"Antrag")&gt;0,1,0)</f>
        <v/>
      </c>
    </row>
    <row r="25">
      <c r="A25" s="28" t="inlineStr">
        <is>
          <t>Summe der Gewichte</t>
        </is>
      </c>
      <c r="B25" s="28">
        <f>SUM(B18:B24)</f>
        <v/>
      </c>
      <c r="C25" s="19" t="n"/>
      <c r="D25" s="19" t="n"/>
      <c r="E25" s="19" t="n"/>
      <c r="F25" s="19" t="n"/>
      <c r="G25" s="19" t="n"/>
      <c r="H25" s="19" t="inlineStr">
        <is>
          <t>2022-Q4</t>
        </is>
      </c>
      <c r="I25" s="19">
        <f>IF(COUNTIFS(Drucksachen!$C$2:$C$293,$H25,Drucksachen!$F$2:$F$293,I$5,Drucksachen!$E$2:$E$293,"Kleine Anfrage")+COUNTIFS(Drucksachen!$C$2:$C$293,$H25,Drucksachen!$F$2:$F$293,I$5,Drucksachen!$E$2:$E$293,"Antrag")&gt;0,1,0)</f>
        <v/>
      </c>
      <c r="J25" s="19">
        <f>IF(COUNTIFS(Drucksachen!$C$2:$C$293,$H25,Drucksachen!$F$2:$F$293,J$5,Drucksachen!$E$2:$E$293,"Kleine Anfrage")+COUNTIFS(Drucksachen!$C$2:$C$293,$H25,Drucksachen!$F$2:$F$293,J$5,Drucksachen!$E$2:$E$293,"Antrag")&gt;0,1,0)</f>
        <v/>
      </c>
      <c r="K25" s="19">
        <f>IF(COUNTIFS(Drucksachen!$C$2:$C$293,$H25,Drucksachen!$F$2:$F$293,K$5,Drucksachen!$E$2:$E$293,"Kleine Anfrage")+COUNTIFS(Drucksachen!$C$2:$C$293,$H25,Drucksachen!$F$2:$F$293,K$5,Drucksachen!$E$2:$E$293,"Antrag")&gt;0,1,0)</f>
        <v/>
      </c>
      <c r="L25" s="19">
        <f>IF(COUNTIFS(Drucksachen!$C$2:$C$293,$H25,Drucksachen!$F$2:$F$293,L$5,Drucksachen!$E$2:$E$293,"Kleine Anfrage")+COUNTIFS(Drucksachen!$C$2:$C$293,$H25,Drucksachen!$F$2:$F$293,L$5,Drucksachen!$E$2:$E$293,"Antrag")&gt;0,1,0)</f>
        <v/>
      </c>
    </row>
    <row r="26">
      <c r="A26" s="19" t="n"/>
      <c r="B26" s="19" t="n"/>
      <c r="C26" s="19" t="n"/>
      <c r="D26" s="19" t="n"/>
      <c r="E26" s="19" t="n"/>
      <c r="F26" s="19" t="n"/>
      <c r="G26" s="19" t="n"/>
      <c r="H26" s="19" t="inlineStr">
        <is>
          <t>2023-Q1</t>
        </is>
      </c>
      <c r="I26" s="19">
        <f>IF(COUNTIFS(Drucksachen!$C$2:$C$293,$H26,Drucksachen!$F$2:$F$293,I$5,Drucksachen!$E$2:$E$293,"Kleine Anfrage")+COUNTIFS(Drucksachen!$C$2:$C$293,$H26,Drucksachen!$F$2:$F$293,I$5,Drucksachen!$E$2:$E$293,"Antrag")&gt;0,1,0)</f>
        <v/>
      </c>
      <c r="J26" s="19">
        <f>IF(COUNTIFS(Drucksachen!$C$2:$C$293,$H26,Drucksachen!$F$2:$F$293,J$5,Drucksachen!$E$2:$E$293,"Kleine Anfrage")+COUNTIFS(Drucksachen!$C$2:$C$293,$H26,Drucksachen!$F$2:$F$293,J$5,Drucksachen!$E$2:$E$293,"Antrag")&gt;0,1,0)</f>
        <v/>
      </c>
      <c r="K26" s="19">
        <f>IF(COUNTIFS(Drucksachen!$C$2:$C$293,$H26,Drucksachen!$F$2:$F$293,K$5,Drucksachen!$E$2:$E$293,"Kleine Anfrage")+COUNTIFS(Drucksachen!$C$2:$C$293,$H26,Drucksachen!$F$2:$F$293,K$5,Drucksachen!$E$2:$E$293,"Antrag")&gt;0,1,0)</f>
        <v/>
      </c>
      <c r="L26" s="19">
        <f>IF(COUNTIFS(Drucksachen!$C$2:$C$293,$H26,Drucksachen!$F$2:$F$293,L$5,Drucksachen!$E$2:$E$293,"Kleine Anfrage")+COUNTIFS(Drucksachen!$C$2:$C$293,$H26,Drucksachen!$F$2:$F$293,L$5,Drucksachen!$E$2:$E$293,"Antrag")&gt;0,1,0)</f>
        <v/>
      </c>
    </row>
    <row r="27">
      <c r="A27" s="30" t="inlineStr">
        <is>
          <t>Schritt 3: Ergebnis</t>
        </is>
      </c>
      <c r="B27" s="19" t="n"/>
      <c r="C27" s="19" t="n"/>
      <c r="D27" s="19" t="n"/>
      <c r="E27" s="19" t="n"/>
      <c r="F27" s="19" t="n"/>
      <c r="G27" s="19" t="n"/>
      <c r="H27" s="19" t="inlineStr">
        <is>
          <t>2023-Q2</t>
        </is>
      </c>
      <c r="I27" s="19">
        <f>IF(COUNTIFS(Drucksachen!$C$2:$C$293,$H27,Drucksachen!$F$2:$F$293,I$5,Drucksachen!$E$2:$E$293,"Kleine Anfrage")+COUNTIFS(Drucksachen!$C$2:$C$293,$H27,Drucksachen!$F$2:$F$293,I$5,Drucksachen!$E$2:$E$293,"Antrag")&gt;0,1,0)</f>
        <v/>
      </c>
      <c r="J27" s="19">
        <f>IF(COUNTIFS(Drucksachen!$C$2:$C$293,$H27,Drucksachen!$F$2:$F$293,J$5,Drucksachen!$E$2:$E$293,"Kleine Anfrage")+COUNTIFS(Drucksachen!$C$2:$C$293,$H27,Drucksachen!$F$2:$F$293,J$5,Drucksachen!$E$2:$E$293,"Antrag")&gt;0,1,0)</f>
        <v/>
      </c>
      <c r="K27" s="19">
        <f>IF(COUNTIFS(Drucksachen!$C$2:$C$293,$H27,Drucksachen!$F$2:$F$293,K$5,Drucksachen!$E$2:$E$293,"Kleine Anfrage")+COUNTIFS(Drucksachen!$C$2:$C$293,$H27,Drucksachen!$F$2:$F$293,K$5,Drucksachen!$E$2:$E$293,"Antrag")&gt;0,1,0)</f>
        <v/>
      </c>
      <c r="L27" s="19">
        <f>IF(COUNTIFS(Drucksachen!$C$2:$C$293,$H27,Drucksachen!$F$2:$F$293,L$5,Drucksachen!$E$2:$E$293,"Kleine Anfrage")+COUNTIFS(Drucksachen!$C$2:$C$293,$H27,Drucksachen!$F$2:$F$293,L$5,Drucksachen!$E$2:$E$293,"Antrag")&gt;0,1,0)</f>
        <v/>
      </c>
    </row>
    <row r="28" ht="28" customHeight="1">
      <c r="A28" s="11" t="inlineStr">
        <is>
          <t>Fraktion</t>
        </is>
      </c>
      <c r="B28" s="11" t="inlineStr">
        <is>
          <t>Score</t>
        </is>
      </c>
      <c r="C28" s="11" t="inlineStr">
        <is>
          <t>Rolle ab WP 21</t>
        </is>
      </c>
      <c r="D28" s="11" t="inlineStr">
        <is>
          <t>Initiativen gesamt</t>
        </is>
      </c>
      <c r="E28" s="11" t="inlineStr">
        <is>
          <t>Belastbarkeit</t>
        </is>
      </c>
      <c r="F28" s="19" t="n"/>
      <c r="G28" s="19" t="n"/>
      <c r="H28" s="19" t="inlineStr">
        <is>
          <t>2023-Q3</t>
        </is>
      </c>
      <c r="I28" s="19">
        <f>IF(COUNTIFS(Drucksachen!$C$2:$C$293,$H28,Drucksachen!$F$2:$F$293,I$5,Drucksachen!$E$2:$E$293,"Kleine Anfrage")+COUNTIFS(Drucksachen!$C$2:$C$293,$H28,Drucksachen!$F$2:$F$293,I$5,Drucksachen!$E$2:$E$293,"Antrag")&gt;0,1,0)</f>
        <v/>
      </c>
      <c r="J28" s="19">
        <f>IF(COUNTIFS(Drucksachen!$C$2:$C$293,$H28,Drucksachen!$F$2:$F$293,J$5,Drucksachen!$E$2:$E$293,"Kleine Anfrage")+COUNTIFS(Drucksachen!$C$2:$C$293,$H28,Drucksachen!$F$2:$F$293,J$5,Drucksachen!$E$2:$E$293,"Antrag")&gt;0,1,0)</f>
        <v/>
      </c>
      <c r="K28" s="19">
        <f>IF(COUNTIFS(Drucksachen!$C$2:$C$293,$H28,Drucksachen!$F$2:$F$293,K$5,Drucksachen!$E$2:$E$293,"Kleine Anfrage")+COUNTIFS(Drucksachen!$C$2:$C$293,$H28,Drucksachen!$F$2:$F$293,K$5,Drucksachen!$E$2:$E$293,"Antrag")&gt;0,1,0)</f>
        <v/>
      </c>
      <c r="L28" s="19">
        <f>IF(COUNTIFS(Drucksachen!$C$2:$C$293,$H28,Drucksachen!$F$2:$F$293,L$5,Drucksachen!$E$2:$E$293,"Kleine Anfrage")+COUNTIFS(Drucksachen!$C$2:$C$293,$H28,Drucksachen!$F$2:$F$293,L$5,Drucksachen!$E$2:$E$293,"Antrag")&gt;0,1,0)</f>
        <v/>
      </c>
    </row>
    <row r="29">
      <c r="A29" s="19" t="inlineStr">
        <is>
          <t>CDU/CSU</t>
        </is>
      </c>
      <c r="B29" s="24">
        <f>IFERROR(SUMPRODUCT($B$18:$B$24,C$18:C$24)/SUMPRODUCT(ABS($B$18:$B$24)),0)</f>
        <v/>
      </c>
      <c r="C29" s="19" t="inlineStr">
        <is>
          <t>Regierungsfraktion</t>
        </is>
      </c>
      <c r="D29" s="19">
        <f>B6</f>
        <v/>
      </c>
      <c r="E29" s="19">
        <f>IF(D29&lt;10,"zu duenn fuer eine Aussage",IF(D29&lt;25,"schmale Basis","belastbar"))</f>
        <v/>
      </c>
      <c r="F29" s="19" t="n"/>
      <c r="G29" s="19" t="n"/>
      <c r="H29" s="19" t="inlineStr">
        <is>
          <t>2023-Q4</t>
        </is>
      </c>
      <c r="I29" s="19">
        <f>IF(COUNTIFS(Drucksachen!$C$2:$C$293,$H29,Drucksachen!$F$2:$F$293,I$5,Drucksachen!$E$2:$E$293,"Kleine Anfrage")+COUNTIFS(Drucksachen!$C$2:$C$293,$H29,Drucksachen!$F$2:$F$293,I$5,Drucksachen!$E$2:$E$293,"Antrag")&gt;0,1,0)</f>
        <v/>
      </c>
      <c r="J29" s="19">
        <f>IF(COUNTIFS(Drucksachen!$C$2:$C$293,$H29,Drucksachen!$F$2:$F$293,J$5,Drucksachen!$E$2:$E$293,"Kleine Anfrage")+COUNTIFS(Drucksachen!$C$2:$C$293,$H29,Drucksachen!$F$2:$F$293,J$5,Drucksachen!$E$2:$E$293,"Antrag")&gt;0,1,0)</f>
        <v/>
      </c>
      <c r="K29" s="19">
        <f>IF(COUNTIFS(Drucksachen!$C$2:$C$293,$H29,Drucksachen!$F$2:$F$293,K$5,Drucksachen!$E$2:$E$293,"Kleine Anfrage")+COUNTIFS(Drucksachen!$C$2:$C$293,$H29,Drucksachen!$F$2:$F$293,K$5,Drucksachen!$E$2:$E$293,"Antrag")&gt;0,1,0)</f>
        <v/>
      </c>
      <c r="L29" s="19">
        <f>IF(COUNTIFS(Drucksachen!$C$2:$C$293,$H29,Drucksachen!$F$2:$F$293,L$5,Drucksachen!$E$2:$E$293,"Kleine Anfrage")+COUNTIFS(Drucksachen!$C$2:$C$293,$H29,Drucksachen!$F$2:$F$293,L$5,Drucksachen!$E$2:$E$293,"Antrag")&gt;0,1,0)</f>
        <v/>
      </c>
    </row>
    <row r="30">
      <c r="A30" s="19" t="inlineStr">
        <is>
          <t>Gruene</t>
        </is>
      </c>
      <c r="B30" s="24">
        <f>IFERROR(SUMPRODUCT($B$18:$B$24,D$18:D$24)/SUMPRODUCT(ABS($B$18:$B$24)),0)</f>
        <v/>
      </c>
      <c r="C30" s="19" t="inlineStr">
        <is>
          <t>Opposition</t>
        </is>
      </c>
      <c r="D30" s="19">
        <f>C6</f>
        <v/>
      </c>
      <c r="E30" s="19">
        <f>IF(D30&lt;10,"zu duenn fuer eine Aussage",IF(D30&lt;25,"schmale Basis","belastbar"))</f>
        <v/>
      </c>
      <c r="F30" s="19" t="n"/>
      <c r="G30" s="19" t="n"/>
      <c r="H30" s="19" t="inlineStr">
        <is>
          <t>2024-Q1</t>
        </is>
      </c>
      <c r="I30" s="19">
        <f>IF(COUNTIFS(Drucksachen!$C$2:$C$293,$H30,Drucksachen!$F$2:$F$293,I$5,Drucksachen!$E$2:$E$293,"Kleine Anfrage")+COUNTIFS(Drucksachen!$C$2:$C$293,$H30,Drucksachen!$F$2:$F$293,I$5,Drucksachen!$E$2:$E$293,"Antrag")&gt;0,1,0)</f>
        <v/>
      </c>
      <c r="J30" s="19">
        <f>IF(COUNTIFS(Drucksachen!$C$2:$C$293,$H30,Drucksachen!$F$2:$F$293,J$5,Drucksachen!$E$2:$E$293,"Kleine Anfrage")+COUNTIFS(Drucksachen!$C$2:$C$293,$H30,Drucksachen!$F$2:$F$293,J$5,Drucksachen!$E$2:$E$293,"Antrag")&gt;0,1,0)</f>
        <v/>
      </c>
      <c r="K30" s="19">
        <f>IF(COUNTIFS(Drucksachen!$C$2:$C$293,$H30,Drucksachen!$F$2:$F$293,K$5,Drucksachen!$E$2:$E$293,"Kleine Anfrage")+COUNTIFS(Drucksachen!$C$2:$C$293,$H30,Drucksachen!$F$2:$F$293,K$5,Drucksachen!$E$2:$E$293,"Antrag")&gt;0,1,0)</f>
        <v/>
      </c>
      <c r="L30" s="19">
        <f>IF(COUNTIFS(Drucksachen!$C$2:$C$293,$H30,Drucksachen!$F$2:$F$293,L$5,Drucksachen!$E$2:$E$293,"Kleine Anfrage")+COUNTIFS(Drucksachen!$C$2:$C$293,$H30,Drucksachen!$F$2:$F$293,L$5,Drucksachen!$E$2:$E$293,"Antrag")&gt;0,1,0)</f>
        <v/>
      </c>
    </row>
    <row r="31">
      <c r="A31" s="19" t="inlineStr">
        <is>
          <t>AfD</t>
        </is>
      </c>
      <c r="B31" s="24">
        <f>IFERROR(SUMPRODUCT($B$18:$B$24,E$18:E$24)/SUMPRODUCT(ABS($B$18:$B$24)),0)</f>
        <v/>
      </c>
      <c r="C31" s="19" t="inlineStr">
        <is>
          <t>Opposition</t>
        </is>
      </c>
      <c r="D31" s="19">
        <f>D6</f>
        <v/>
      </c>
      <c r="E31" s="19">
        <f>IF(D31&lt;10,"zu duenn fuer eine Aussage",IF(D31&lt;25,"schmale Basis","belastbar"))</f>
        <v/>
      </c>
      <c r="F31" s="19" t="n"/>
      <c r="G31" s="19" t="n"/>
      <c r="H31" s="19" t="inlineStr">
        <is>
          <t>2024-Q2</t>
        </is>
      </c>
      <c r="I31" s="19">
        <f>IF(COUNTIFS(Drucksachen!$C$2:$C$293,$H31,Drucksachen!$F$2:$F$293,I$5,Drucksachen!$E$2:$E$293,"Kleine Anfrage")+COUNTIFS(Drucksachen!$C$2:$C$293,$H31,Drucksachen!$F$2:$F$293,I$5,Drucksachen!$E$2:$E$293,"Antrag")&gt;0,1,0)</f>
        <v/>
      </c>
      <c r="J31" s="19">
        <f>IF(COUNTIFS(Drucksachen!$C$2:$C$293,$H31,Drucksachen!$F$2:$F$293,J$5,Drucksachen!$E$2:$E$293,"Kleine Anfrage")+COUNTIFS(Drucksachen!$C$2:$C$293,$H31,Drucksachen!$F$2:$F$293,J$5,Drucksachen!$E$2:$E$293,"Antrag")&gt;0,1,0)</f>
        <v/>
      </c>
      <c r="K31" s="19">
        <f>IF(COUNTIFS(Drucksachen!$C$2:$C$293,$H31,Drucksachen!$F$2:$F$293,K$5,Drucksachen!$E$2:$E$293,"Kleine Anfrage")+COUNTIFS(Drucksachen!$C$2:$C$293,$H31,Drucksachen!$F$2:$F$293,K$5,Drucksachen!$E$2:$E$293,"Antrag")&gt;0,1,0)</f>
        <v/>
      </c>
      <c r="L31" s="19">
        <f>IF(COUNTIFS(Drucksachen!$C$2:$C$293,$H31,Drucksachen!$F$2:$F$293,L$5,Drucksachen!$E$2:$E$293,"Kleine Anfrage")+COUNTIFS(Drucksachen!$C$2:$C$293,$H31,Drucksachen!$F$2:$F$293,L$5,Drucksachen!$E$2:$E$293,"Antrag")&gt;0,1,0)</f>
        <v/>
      </c>
    </row>
    <row r="32">
      <c r="A32" s="19" t="inlineStr">
        <is>
          <t>Linke</t>
        </is>
      </c>
      <c r="B32" s="24">
        <f>IFERROR(SUMPRODUCT($B$18:$B$24,F$18:F$24)/SUMPRODUCT(ABS($B$18:$B$24)),0)</f>
        <v/>
      </c>
      <c r="C32" s="19" t="inlineStr">
        <is>
          <t>Opposition</t>
        </is>
      </c>
      <c r="D32" s="19">
        <f>E6</f>
        <v/>
      </c>
      <c r="E32" s="19">
        <f>IF(D32&lt;10,"zu duenn fuer eine Aussage",IF(D32&lt;25,"schmale Basis","belastbar"))</f>
        <v/>
      </c>
      <c r="F32" s="19" t="n"/>
      <c r="G32" s="19" t="n"/>
      <c r="H32" s="19" t="inlineStr">
        <is>
          <t>2024-Q3</t>
        </is>
      </c>
      <c r="I32" s="19">
        <f>IF(COUNTIFS(Drucksachen!$C$2:$C$293,$H32,Drucksachen!$F$2:$F$293,I$5,Drucksachen!$E$2:$E$293,"Kleine Anfrage")+COUNTIFS(Drucksachen!$C$2:$C$293,$H32,Drucksachen!$F$2:$F$293,I$5,Drucksachen!$E$2:$E$293,"Antrag")&gt;0,1,0)</f>
        <v/>
      </c>
      <c r="J32" s="19">
        <f>IF(COUNTIFS(Drucksachen!$C$2:$C$293,$H32,Drucksachen!$F$2:$F$293,J$5,Drucksachen!$E$2:$E$293,"Kleine Anfrage")+COUNTIFS(Drucksachen!$C$2:$C$293,$H32,Drucksachen!$F$2:$F$293,J$5,Drucksachen!$E$2:$E$293,"Antrag")&gt;0,1,0)</f>
        <v/>
      </c>
      <c r="K32" s="19">
        <f>IF(COUNTIFS(Drucksachen!$C$2:$C$293,$H32,Drucksachen!$F$2:$F$293,K$5,Drucksachen!$E$2:$E$293,"Kleine Anfrage")+COUNTIFS(Drucksachen!$C$2:$C$293,$H32,Drucksachen!$F$2:$F$293,K$5,Drucksachen!$E$2:$E$293,"Antrag")&gt;0,1,0)</f>
        <v/>
      </c>
      <c r="L32" s="19">
        <f>IF(COUNTIFS(Drucksachen!$C$2:$C$293,$H32,Drucksachen!$F$2:$F$293,L$5,Drucksachen!$E$2:$E$293,"Kleine Anfrage")+COUNTIFS(Drucksachen!$C$2:$C$293,$H32,Drucksachen!$F$2:$F$293,L$5,Drucksachen!$E$2:$E$293,"Antrag")&gt;0,1,0)</f>
        <v/>
      </c>
    </row>
    <row r="33">
      <c r="A33" s="19" t="n"/>
      <c r="B33" s="19" t="n"/>
      <c r="C33" s="19" t="n"/>
      <c r="D33" s="19" t="n"/>
      <c r="E33" s="19" t="n"/>
      <c r="F33" s="19" t="n"/>
      <c r="G33" s="19" t="n"/>
      <c r="H33" s="19" t="inlineStr">
        <is>
          <t>2024-Q4</t>
        </is>
      </c>
      <c r="I33" s="19">
        <f>IF(COUNTIFS(Drucksachen!$C$2:$C$293,$H33,Drucksachen!$F$2:$F$293,I$5,Drucksachen!$E$2:$E$293,"Kleine Anfrage")+COUNTIFS(Drucksachen!$C$2:$C$293,$H33,Drucksachen!$F$2:$F$293,I$5,Drucksachen!$E$2:$E$293,"Antrag")&gt;0,1,0)</f>
        <v/>
      </c>
      <c r="J33" s="19">
        <f>IF(COUNTIFS(Drucksachen!$C$2:$C$293,$H33,Drucksachen!$F$2:$F$293,J$5,Drucksachen!$E$2:$E$293,"Kleine Anfrage")+COUNTIFS(Drucksachen!$C$2:$C$293,$H33,Drucksachen!$F$2:$F$293,J$5,Drucksachen!$E$2:$E$293,"Antrag")&gt;0,1,0)</f>
        <v/>
      </c>
      <c r="K33" s="19">
        <f>IF(COUNTIFS(Drucksachen!$C$2:$C$293,$H33,Drucksachen!$F$2:$F$293,K$5,Drucksachen!$E$2:$E$293,"Kleine Anfrage")+COUNTIFS(Drucksachen!$C$2:$C$293,$H33,Drucksachen!$F$2:$F$293,K$5,Drucksachen!$E$2:$E$293,"Antrag")&gt;0,1,0)</f>
        <v/>
      </c>
      <c r="L33" s="19">
        <f>IF(COUNTIFS(Drucksachen!$C$2:$C$293,$H33,Drucksachen!$F$2:$F$293,L$5,Drucksachen!$E$2:$E$293,"Kleine Anfrage")+COUNTIFS(Drucksachen!$C$2:$C$293,$H33,Drucksachen!$F$2:$F$293,L$5,Drucksachen!$E$2:$E$293,"Antrag")&gt;0,1,0)</f>
        <v/>
      </c>
    </row>
    <row r="34">
      <c r="A34" s="29" t="inlineStr">
        <is>
          <t>Der Score ist relativ, nicht absolut: 100 heisst nur, dass eine Fraktion in allen Indikatoren die beste der hier verglichenen ist. Er sagt nichts darueber, ob das objektiv viel oder wenig ist.</t>
        </is>
      </c>
      <c r="B34" s="19" t="n"/>
      <c r="C34" s="19" t="n"/>
      <c r="D34" s="19" t="n"/>
      <c r="E34" s="19" t="n"/>
      <c r="F34" s="19" t="n"/>
      <c r="G34" s="19" t="n"/>
      <c r="H34" s="19" t="inlineStr">
        <is>
          <t>2025-Q1</t>
        </is>
      </c>
      <c r="I34" s="19">
        <f>IF(COUNTIFS(Drucksachen!$C$2:$C$293,$H34,Drucksachen!$F$2:$F$293,I$5,Drucksachen!$E$2:$E$293,"Kleine Anfrage")+COUNTIFS(Drucksachen!$C$2:$C$293,$H34,Drucksachen!$F$2:$F$293,I$5,Drucksachen!$E$2:$E$293,"Antrag")&gt;0,1,0)</f>
        <v/>
      </c>
      <c r="J34" s="19">
        <f>IF(COUNTIFS(Drucksachen!$C$2:$C$293,$H34,Drucksachen!$F$2:$F$293,J$5,Drucksachen!$E$2:$E$293,"Kleine Anfrage")+COUNTIFS(Drucksachen!$C$2:$C$293,$H34,Drucksachen!$F$2:$F$293,J$5,Drucksachen!$E$2:$E$293,"Antrag")&gt;0,1,0)</f>
        <v/>
      </c>
      <c r="K34" s="19">
        <f>IF(COUNTIFS(Drucksachen!$C$2:$C$293,$H34,Drucksachen!$F$2:$F$293,K$5,Drucksachen!$E$2:$E$293,"Kleine Anfrage")+COUNTIFS(Drucksachen!$C$2:$C$293,$H34,Drucksachen!$F$2:$F$293,K$5,Drucksachen!$E$2:$E$293,"Antrag")&gt;0,1,0)</f>
        <v/>
      </c>
      <c r="L34" s="19">
        <f>IF(COUNTIFS(Drucksachen!$C$2:$C$293,$H34,Drucksachen!$F$2:$F$293,L$5,Drucksachen!$E$2:$E$293,"Kleine Anfrage")+COUNTIFS(Drucksachen!$C$2:$C$293,$H34,Drucksachen!$F$2:$F$293,L$5,Drucksachen!$E$2:$E$293,"Antrag")&gt;0,1,0)</f>
        <v/>
      </c>
    </row>
    <row r="35">
      <c r="A35" s="19" t="n"/>
      <c r="B35" s="19" t="n"/>
      <c r="C35" s="19" t="n"/>
      <c r="D35" s="19" t="n"/>
      <c r="E35" s="19" t="n"/>
      <c r="F35" s="19" t="n"/>
      <c r="G35" s="19" t="n"/>
      <c r="H35" s="19" t="inlineStr">
        <is>
          <t>2025-Q2</t>
        </is>
      </c>
      <c r="I35" s="19">
        <f>IF(COUNTIFS(Drucksachen!$C$2:$C$293,$H35,Drucksachen!$F$2:$F$293,I$5,Drucksachen!$E$2:$E$293,"Kleine Anfrage")+COUNTIFS(Drucksachen!$C$2:$C$293,$H35,Drucksachen!$F$2:$F$293,I$5,Drucksachen!$E$2:$E$293,"Antrag")&gt;0,1,0)</f>
        <v/>
      </c>
      <c r="J35" s="19">
        <f>IF(COUNTIFS(Drucksachen!$C$2:$C$293,$H35,Drucksachen!$F$2:$F$293,J$5,Drucksachen!$E$2:$E$293,"Kleine Anfrage")+COUNTIFS(Drucksachen!$C$2:$C$293,$H35,Drucksachen!$F$2:$F$293,J$5,Drucksachen!$E$2:$E$293,"Antrag")&gt;0,1,0)</f>
        <v/>
      </c>
      <c r="K35" s="19">
        <f>IF(COUNTIFS(Drucksachen!$C$2:$C$293,$H35,Drucksachen!$F$2:$F$293,K$5,Drucksachen!$E$2:$E$293,"Kleine Anfrage")+COUNTIFS(Drucksachen!$C$2:$C$293,$H35,Drucksachen!$F$2:$F$293,K$5,Drucksachen!$E$2:$E$293,"Antrag")&gt;0,1,0)</f>
        <v/>
      </c>
      <c r="L35" s="19">
        <f>IF(COUNTIFS(Drucksachen!$C$2:$C$293,$H35,Drucksachen!$F$2:$F$293,L$5,Drucksachen!$E$2:$E$293,"Kleine Anfrage")+COUNTIFS(Drucksachen!$C$2:$C$293,$H35,Drucksachen!$F$2:$F$293,L$5,Drucksachen!$E$2:$E$293,"Antrag")&gt;0,1,0)</f>
        <v/>
      </c>
    </row>
    <row r="36">
      <c r="A36" s="19" t="n"/>
      <c r="B36" s="19" t="n"/>
      <c r="C36" s="19" t="n"/>
      <c r="D36" s="19" t="n"/>
      <c r="E36" s="19" t="n"/>
      <c r="F36" s="19" t="n"/>
      <c r="G36" s="19" t="n"/>
      <c r="H36" s="19" t="inlineStr">
        <is>
          <t>2025-Q3</t>
        </is>
      </c>
      <c r="I36" s="19">
        <f>IF(COUNTIFS(Drucksachen!$C$2:$C$293,$H36,Drucksachen!$F$2:$F$293,I$5,Drucksachen!$E$2:$E$293,"Kleine Anfrage")+COUNTIFS(Drucksachen!$C$2:$C$293,$H36,Drucksachen!$F$2:$F$293,I$5,Drucksachen!$E$2:$E$293,"Antrag")&gt;0,1,0)</f>
        <v/>
      </c>
      <c r="J36" s="19">
        <f>IF(COUNTIFS(Drucksachen!$C$2:$C$293,$H36,Drucksachen!$F$2:$F$293,J$5,Drucksachen!$E$2:$E$293,"Kleine Anfrage")+COUNTIFS(Drucksachen!$C$2:$C$293,$H36,Drucksachen!$F$2:$F$293,J$5,Drucksachen!$E$2:$E$293,"Antrag")&gt;0,1,0)</f>
        <v/>
      </c>
      <c r="K36" s="19">
        <f>IF(COUNTIFS(Drucksachen!$C$2:$C$293,$H36,Drucksachen!$F$2:$F$293,K$5,Drucksachen!$E$2:$E$293,"Kleine Anfrage")+COUNTIFS(Drucksachen!$C$2:$C$293,$H36,Drucksachen!$F$2:$F$293,K$5,Drucksachen!$E$2:$E$293,"Antrag")&gt;0,1,0)</f>
        <v/>
      </c>
      <c r="L36" s="19">
        <f>IF(COUNTIFS(Drucksachen!$C$2:$C$293,$H36,Drucksachen!$F$2:$F$293,L$5,Drucksachen!$E$2:$E$293,"Kleine Anfrage")+COUNTIFS(Drucksachen!$C$2:$C$293,$H36,Drucksachen!$F$2:$F$293,L$5,Drucksachen!$E$2:$E$293,"Antrag")&gt;0,1,0)</f>
        <v/>
      </c>
    </row>
    <row r="37">
      <c r="A37" s="19" t="n"/>
      <c r="B37" s="19" t="n"/>
      <c r="C37" s="19" t="n"/>
      <c r="D37" s="19" t="n"/>
      <c r="E37" s="19" t="n"/>
      <c r="F37" s="19" t="n"/>
      <c r="G37" s="19" t="n"/>
      <c r="H37" s="19" t="inlineStr">
        <is>
          <t>2025-Q4</t>
        </is>
      </c>
      <c r="I37" s="19">
        <f>IF(COUNTIFS(Drucksachen!$C$2:$C$293,$H37,Drucksachen!$F$2:$F$293,I$5,Drucksachen!$E$2:$E$293,"Kleine Anfrage")+COUNTIFS(Drucksachen!$C$2:$C$293,$H37,Drucksachen!$F$2:$F$293,I$5,Drucksachen!$E$2:$E$293,"Antrag")&gt;0,1,0)</f>
        <v/>
      </c>
      <c r="J37" s="19">
        <f>IF(COUNTIFS(Drucksachen!$C$2:$C$293,$H37,Drucksachen!$F$2:$F$293,J$5,Drucksachen!$E$2:$E$293,"Kleine Anfrage")+COUNTIFS(Drucksachen!$C$2:$C$293,$H37,Drucksachen!$F$2:$F$293,J$5,Drucksachen!$E$2:$E$293,"Antrag")&gt;0,1,0)</f>
        <v/>
      </c>
      <c r="K37" s="19">
        <f>IF(COUNTIFS(Drucksachen!$C$2:$C$293,$H37,Drucksachen!$F$2:$F$293,K$5,Drucksachen!$E$2:$E$293,"Kleine Anfrage")+COUNTIFS(Drucksachen!$C$2:$C$293,$H37,Drucksachen!$F$2:$F$293,K$5,Drucksachen!$E$2:$E$293,"Antrag")&gt;0,1,0)</f>
        <v/>
      </c>
      <c r="L37" s="19">
        <f>IF(COUNTIFS(Drucksachen!$C$2:$C$293,$H37,Drucksachen!$F$2:$F$293,L$5,Drucksachen!$E$2:$E$293,"Kleine Anfrage")+COUNTIFS(Drucksachen!$C$2:$C$293,$H37,Drucksachen!$F$2:$F$293,L$5,Drucksachen!$E$2:$E$293,"Antrag")&gt;0,1,0)</f>
        <v/>
      </c>
    </row>
    <row r="38">
      <c r="A38" s="19" t="n"/>
      <c r="B38" s="19" t="n"/>
      <c r="C38" s="19" t="n"/>
      <c r="D38" s="19" t="n"/>
      <c r="E38" s="19" t="n"/>
      <c r="F38" s="19" t="n"/>
      <c r="G38" s="19" t="n"/>
      <c r="H38" s="19" t="inlineStr">
        <is>
          <t>2026-Q1</t>
        </is>
      </c>
      <c r="I38" s="19">
        <f>IF(COUNTIFS(Drucksachen!$C$2:$C$293,$H38,Drucksachen!$F$2:$F$293,I$5,Drucksachen!$E$2:$E$293,"Kleine Anfrage")+COUNTIFS(Drucksachen!$C$2:$C$293,$H38,Drucksachen!$F$2:$F$293,I$5,Drucksachen!$E$2:$E$293,"Antrag")&gt;0,1,0)</f>
        <v/>
      </c>
      <c r="J38" s="19">
        <f>IF(COUNTIFS(Drucksachen!$C$2:$C$293,$H38,Drucksachen!$F$2:$F$293,J$5,Drucksachen!$E$2:$E$293,"Kleine Anfrage")+COUNTIFS(Drucksachen!$C$2:$C$293,$H38,Drucksachen!$F$2:$F$293,J$5,Drucksachen!$E$2:$E$293,"Antrag")&gt;0,1,0)</f>
        <v/>
      </c>
      <c r="K38" s="19">
        <f>IF(COUNTIFS(Drucksachen!$C$2:$C$293,$H38,Drucksachen!$F$2:$F$293,K$5,Drucksachen!$E$2:$E$293,"Kleine Anfrage")+COUNTIFS(Drucksachen!$C$2:$C$293,$H38,Drucksachen!$F$2:$F$293,K$5,Drucksachen!$E$2:$E$293,"Antrag")&gt;0,1,0)</f>
        <v/>
      </c>
      <c r="L38" s="19">
        <f>IF(COUNTIFS(Drucksachen!$C$2:$C$293,$H38,Drucksachen!$F$2:$F$293,L$5,Drucksachen!$E$2:$E$293,"Kleine Anfrage")+COUNTIFS(Drucksachen!$C$2:$C$293,$H38,Drucksachen!$F$2:$F$293,L$5,Drucksachen!$E$2:$E$293,"Antrag")&gt;0,1,0)</f>
        <v/>
      </c>
    </row>
    <row r="39">
      <c r="A39" s="19" t="n"/>
      <c r="B39" s="19" t="n"/>
      <c r="C39" s="19" t="n"/>
      <c r="D39" s="19" t="n"/>
      <c r="E39" s="19" t="n"/>
      <c r="F39" s="19" t="n"/>
      <c r="G39" s="19" t="n"/>
      <c r="H39" s="19" t="inlineStr">
        <is>
          <t>2026-Q2</t>
        </is>
      </c>
      <c r="I39" s="19">
        <f>IF(COUNTIFS(Drucksachen!$C$2:$C$293,$H39,Drucksachen!$F$2:$F$293,I$5,Drucksachen!$E$2:$E$293,"Kleine Anfrage")+COUNTIFS(Drucksachen!$C$2:$C$293,$H39,Drucksachen!$F$2:$F$293,I$5,Drucksachen!$E$2:$E$293,"Antrag")&gt;0,1,0)</f>
        <v/>
      </c>
      <c r="J39" s="19">
        <f>IF(COUNTIFS(Drucksachen!$C$2:$C$293,$H39,Drucksachen!$F$2:$F$293,J$5,Drucksachen!$E$2:$E$293,"Kleine Anfrage")+COUNTIFS(Drucksachen!$C$2:$C$293,$H39,Drucksachen!$F$2:$F$293,J$5,Drucksachen!$E$2:$E$293,"Antrag")&gt;0,1,0)</f>
        <v/>
      </c>
      <c r="K39" s="19">
        <f>IF(COUNTIFS(Drucksachen!$C$2:$C$293,$H39,Drucksachen!$F$2:$F$293,K$5,Drucksachen!$E$2:$E$293,"Kleine Anfrage")+COUNTIFS(Drucksachen!$C$2:$C$293,$H39,Drucksachen!$F$2:$F$293,K$5,Drucksachen!$E$2:$E$293,"Antrag")&gt;0,1,0)</f>
        <v/>
      </c>
      <c r="L39" s="19">
        <f>IF(COUNTIFS(Drucksachen!$C$2:$C$293,$H39,Drucksachen!$F$2:$F$293,L$5,Drucksachen!$E$2:$E$293,"Kleine Anfrage")+COUNTIFS(Drucksachen!$C$2:$C$293,$H39,Drucksachen!$F$2:$F$293,L$5,Drucksachen!$E$2:$E$293,"Antrag")&gt;0,1,0)</f>
        <v/>
      </c>
    </row>
    <row r="40">
      <c r="A40" s="19" t="n"/>
      <c r="B40" s="19" t="n"/>
      <c r="C40" s="19" t="n"/>
      <c r="D40" s="19" t="n"/>
      <c r="E40" s="19" t="n"/>
      <c r="F40" s="19" t="n"/>
      <c r="G40" s="19" t="n"/>
      <c r="H40" s="19" t="inlineStr">
        <is>
          <t>2026-Q3</t>
        </is>
      </c>
      <c r="I40" s="19">
        <f>IF(COUNTIFS(Drucksachen!$C$2:$C$293,$H40,Drucksachen!$F$2:$F$293,I$5,Drucksachen!$E$2:$E$293,"Kleine Anfrage")+COUNTIFS(Drucksachen!$C$2:$C$293,$H40,Drucksachen!$F$2:$F$293,I$5,Drucksachen!$E$2:$E$293,"Antrag")&gt;0,1,0)</f>
        <v/>
      </c>
      <c r="J40" s="19">
        <f>IF(COUNTIFS(Drucksachen!$C$2:$C$293,$H40,Drucksachen!$F$2:$F$293,J$5,Drucksachen!$E$2:$E$293,"Kleine Anfrage")+COUNTIFS(Drucksachen!$C$2:$C$293,$H40,Drucksachen!$F$2:$F$293,J$5,Drucksachen!$E$2:$E$293,"Antrag")&gt;0,1,0)</f>
        <v/>
      </c>
      <c r="K40" s="19">
        <f>IF(COUNTIFS(Drucksachen!$C$2:$C$293,$H40,Drucksachen!$F$2:$F$293,K$5,Drucksachen!$E$2:$E$293,"Kleine Anfrage")+COUNTIFS(Drucksachen!$C$2:$C$293,$H40,Drucksachen!$F$2:$F$293,K$5,Drucksachen!$E$2:$E$293,"Antrag")&gt;0,1,0)</f>
        <v/>
      </c>
      <c r="L40" s="19">
        <f>IF(COUNTIFS(Drucksachen!$C$2:$C$293,$H40,Drucksachen!$F$2:$F$293,L$5,Drucksachen!$E$2:$E$293,"Kleine Anfrage")+COUNTIFS(Drucksachen!$C$2:$C$293,$H40,Drucksachen!$F$2:$F$293,L$5,Drucksachen!$E$2:$E$293,"Antrag")&gt;0,1,0)</f>
        <v/>
      </c>
    </row>
  </sheetData>
  <mergeCells count="3">
    <mergeCell ref="A2:G2"/>
    <mergeCell ref="A15:G15"/>
    <mergeCell ref="A34:G3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2026-10-11T10:58:47Z</dcterms:created>
  <dcterms:modified xsi:type="dcterms:W3CDTF">2026-10-11T10:58:47Z</dcterms:modified>
</cp:coreProperties>
</file>