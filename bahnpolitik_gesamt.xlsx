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Antwort</t>
        </is>
      </c>
      <c r="O4">
        <f>COUNTIF(Drucksachen!$E$2:$E$294,N4)</f>
        <v/>
      </c>
    </row>
    <row r="5">
      <c r="A5" s="4" t="inlineStr">
        <is>
          <t>davon Kleine Anfragen</t>
        </is>
      </c>
      <c r="B5" s="5">
        <f>COUNTIF(Drucksachen!$E$2:$E$294,"Kleine Anfrage")</f>
        <v/>
      </c>
      <c r="N5" t="inlineStr">
        <is>
          <t>Kleine Anfrage</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Wahlvorschlag</t>
        </is>
      </c>
      <c r="O9">
        <f>COUNTIF(Drucksachen!$E$2:$E$294,N9)</f>
        <v/>
      </c>
    </row>
    <row r="10">
      <c r="A10" s="4" t="inlineStr">
        <is>
          <t>Aktivste Fraktion</t>
        </is>
      </c>
      <c r="B10" s="6">
        <f>INDEX(Initiativen!$A$5:$A$9,MATCH(MAX(Initiativen!$G$5:$G$9),Initiativen!$G$5:$G$9,0))</f>
        <v/>
      </c>
      <c r="N10" t="inlineStr">
        <is>
          <t>Gesetzentwurf</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24.10.2026 09:02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46260</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2026-10-24T09:02:09Z</dcterms:created>
  <dcterms:modified xsi:type="dcterms:W3CDTF">2026-10-24T09:02:09Z</dcterms:modified>
</cp:coreProperties>
</file>